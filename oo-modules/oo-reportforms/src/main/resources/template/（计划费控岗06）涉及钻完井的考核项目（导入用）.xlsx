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firstSheet="1" activeTab="1"/>
  </bookViews>
  <sheets>
    <sheet name="汇总表" sheetId="1" state="hidden" r:id="rId1"/>
    <sheet name="钻完井的考核项目" sheetId="2" r:id="rId2"/>
  </sheets>
  <calcPr calcId="144525"/>
</workbook>
</file>

<file path=xl/comments1.xml><?xml version="1.0" encoding="utf-8"?>
<comments xmlns="http://schemas.openxmlformats.org/spreadsheetml/2006/main">
  <authors>
    <author>作者</author>
  </authors>
  <commentList>
    <comment ref="J18" authorId="0">
      <text>
        <r>
          <rPr>
            <b/>
            <sz val="9"/>
            <rFont val="宋体"/>
            <charset val="134"/>
          </rPr>
          <t>作者:</t>
        </r>
        <r>
          <rPr>
            <sz val="9"/>
            <rFont val="宋体"/>
            <charset val="134"/>
          </rPr>
          <t xml:space="preserve">
=94.93*0.4+95.32*0.4+92.5*0.2</t>
        </r>
      </text>
    </comment>
    <comment ref="M18" authorId="0">
      <text>
        <r>
          <rPr>
            <b/>
            <sz val="9"/>
            <rFont val="宋体"/>
            <charset val="134"/>
          </rPr>
          <t>作者:</t>
        </r>
        <r>
          <rPr>
            <sz val="9"/>
            <rFont val="宋体"/>
            <charset val="134"/>
          </rPr>
          <t xml:space="preserve">
=94.93*0.4+95.32*0.4+92.5*0.2</t>
        </r>
      </text>
    </comment>
  </commentList>
</comments>
</file>

<file path=xl/comments2.xml><?xml version="1.0" encoding="utf-8"?>
<comments xmlns="http://schemas.openxmlformats.org/spreadsheetml/2006/main">
  <authors>
    <author>作者</author>
  </authors>
  <commentList>
    <comment ref="J6" authorId="0">
      <text>
        <r>
          <rPr>
            <b/>
            <sz val="9"/>
            <rFont val="宋体"/>
            <charset val="134"/>
          </rPr>
          <t>作者:</t>
        </r>
        <r>
          <rPr>
            <sz val="9"/>
            <rFont val="宋体"/>
            <charset val="134"/>
          </rPr>
          <t xml:space="preserve">
=94.93*0.4+95.32*0.4+92.5*0.2</t>
        </r>
      </text>
    </comment>
  </commentList>
</comments>
</file>

<file path=xl/sharedStrings.xml><?xml version="1.0" encoding="utf-8"?>
<sst xmlns="http://schemas.openxmlformats.org/spreadsheetml/2006/main" count="215" uniqueCount="150">
  <si>
    <t>2022年度经营业绩考核评价表</t>
  </si>
  <si>
    <t>类别</t>
  </si>
  <si>
    <t>关键绩效指标</t>
  </si>
  <si>
    <t>差异化激励约束性指标</t>
  </si>
  <si>
    <t>通用类激励约束指标</t>
  </si>
  <si>
    <t>得分汇总统计</t>
  </si>
  <si>
    <t>序号</t>
  </si>
  <si>
    <t>BU</t>
  </si>
  <si>
    <t>指标定义 / 计量单位</t>
  </si>
  <si>
    <t>权重</t>
  </si>
  <si>
    <t>目标值</t>
  </si>
  <si>
    <t>业务单元自评</t>
  </si>
  <si>
    <t>考评工作组评价</t>
  </si>
  <si>
    <t>考核指标</t>
  </si>
  <si>
    <t>得分范围</t>
  </si>
  <si>
    <t>业务单元自评得分</t>
  </si>
  <si>
    <t>考评工作组评价得分</t>
  </si>
  <si>
    <t>合计</t>
  </si>
  <si>
    <t>基本目标（80分）</t>
  </si>
  <si>
    <t>奋斗目标（90分）</t>
  </si>
  <si>
    <t>挑战目标（100分）</t>
  </si>
  <si>
    <t>预测全年完成值</t>
  </si>
  <si>
    <t>得分</t>
  </si>
  <si>
    <t>说明</t>
  </si>
  <si>
    <t>评分部门</t>
  </si>
  <si>
    <t>扣分</t>
  </si>
  <si>
    <t>加分</t>
  </si>
  <si>
    <t>支持材料</t>
  </si>
  <si>
    <t>差异化激励约束指标</t>
  </si>
  <si>
    <t>哥伦比亚</t>
  </si>
  <si>
    <t>-</t>
  </si>
  <si>
    <t>英国公司</t>
  </si>
  <si>
    <t>Well Control</t>
  </si>
  <si>
    <t>n/a</t>
  </si>
  <si>
    <t>英国勘探</t>
  </si>
  <si>
    <t>BC</t>
  </si>
  <si>
    <t>巴西</t>
  </si>
  <si>
    <t>北美公司</t>
  </si>
  <si>
    <t>澳控</t>
  </si>
  <si>
    <t>尼日利亚</t>
  </si>
  <si>
    <t>圭亚那</t>
  </si>
  <si>
    <t>北美勘探</t>
  </si>
  <si>
    <t>墨西哥</t>
  </si>
  <si>
    <t>探井作业管理</t>
  </si>
  <si>
    <t>钻井准备工作及开钻时间</t>
  </si>
  <si>
    <t>获得所有许可，达到开钻条件。9月开钻</t>
  </si>
  <si>
    <t>7月获得所有许可，达到开钻条件。8月开钻</t>
  </si>
  <si>
    <t>6月获得所有许可，达到开钻条件。7月开钻</t>
  </si>
  <si>
    <t>2022年7月获得钻井所需所有许可，8月26日开钻，完成了奋斗目标，按照打分原则比8月底每提前一周可获2.5分，自评得分为92.5分。</t>
  </si>
  <si>
    <t>墨西哥公司和项目组克服疫情影响、油价上涨和钻机变动等因素，采取蹲守政府部门，积极和壳牌及NOBEL沟通协调，最终实现了7月份获得所有许可和8月上钻的目标，为下一步决策赢得了时间。</t>
  </si>
  <si>
    <t>2022年7月获得钻井所需所有许可，8月26日开钻，完成了奋斗目标</t>
  </si>
  <si>
    <t>工程技术分中心</t>
  </si>
  <si>
    <t>探井钻井工期</t>
  </si>
  <si>
    <t>X=实际工期—设计工期</t>
  </si>
  <si>
    <r>
      <rPr>
        <sz val="14"/>
        <rFont val="宋体"/>
        <charset val="134"/>
      </rPr>
      <t>X≥</t>
    </r>
    <r>
      <rPr>
        <sz val="14"/>
        <rFont val="Arial"/>
        <charset val="134"/>
      </rPr>
      <t>2</t>
    </r>
    <r>
      <rPr>
        <sz val="14"/>
        <rFont val="宋体"/>
        <charset val="134"/>
      </rPr>
      <t>天</t>
    </r>
  </si>
  <si>
    <t>—2天＜X＜2天</t>
  </si>
  <si>
    <r>
      <rPr>
        <sz val="14"/>
        <rFont val="宋体"/>
        <charset val="134"/>
      </rPr>
      <t>X≤—</t>
    </r>
    <r>
      <rPr>
        <sz val="14"/>
        <rFont val="Arial"/>
        <charset val="134"/>
      </rPr>
      <t>2</t>
    </r>
    <r>
      <rPr>
        <sz val="14"/>
        <rFont val="宋体"/>
        <charset val="134"/>
      </rPr>
      <t>天</t>
    </r>
  </si>
  <si>
    <t>设计54.58天，实际52天，节约2.58天</t>
  </si>
  <si>
    <t>加蓬</t>
  </si>
  <si>
    <t>钻井所有准备工作及开钻时间</t>
  </si>
  <si>
    <t>4月后完成钻井基本设计审查。12月开钻1口</t>
  </si>
  <si>
    <t>3月底前完成钻井基本设计审查。9月开钻1口</t>
  </si>
  <si>
    <t>2月底前完成钻井基本设计审查。年底前开钻2口，完钻1口</t>
  </si>
  <si>
    <t>3月底完成钻井设计审查，根据公司的批准的计划，完成钻前的所有准备</t>
  </si>
  <si>
    <t>由于钻井船原因，根据公司批准，钻井计划推迟至2023年</t>
  </si>
  <si>
    <t>钻井基本设计4月11日完成审查，开钻时间预计2023年。</t>
  </si>
  <si>
    <t>伊拉克</t>
  </si>
  <si>
    <t>钻井指标</t>
  </si>
  <si>
    <t>平均钻井周期及千米进尺事故时间</t>
  </si>
  <si>
    <t>平均钻井周期：
Mishrif井 ≤ 100天                              
Asmari井 ≤ 80天
10 h/Km＜千米进尺事故时间≤15 h/Km</t>
  </si>
  <si>
    <t>平均钻井周期：
Mishrif井 ≤ 90天                        
Asmari井 ≤ 75天
6 h/Km＜千米进尺事故时间≤10h/Km</t>
  </si>
  <si>
    <t>平均钻井周期：
Mishrif井 ≤ 80天                   
Asmari井 ≤ 70天
千米进尺事故时间≤6h/Km</t>
  </si>
  <si>
    <t>平均钻井周期：
Mishrif井85.07天                       
Asmari井72.34天
千米进尺事故时间 9.01h/KM</t>
  </si>
  <si>
    <t>DCC：按照权重：Mishrif井周期：Asmari井周期：千米进尺事故时间=40%：40%：20%比例进行计算</t>
  </si>
  <si>
    <t>实际平均钻井周期：
Mishrif井 85.07天                        
Asmari井 72.34天
6 h/Km＜千米进尺事故时间≤10h/Km</t>
  </si>
  <si>
    <t>东南亚</t>
  </si>
  <si>
    <t>项目开发</t>
  </si>
  <si>
    <t xml:space="preserve"> - MDA-MBH 较批复开发投资节约率（投产前提下，包括工程、钻完井完工总支出较FID批复投资节约率）</t>
  </si>
  <si>
    <t>5%</t>
  </si>
  <si>
    <t>MDA&amp;MBH气田实现年内投产目标，工程、钻完井批复投资为1.22亿美元（海油份额），实际工程、钻完井投资金额为1.03亿美元（海油份额），投资节约率约15.7%，实现挑战目标</t>
  </si>
  <si>
    <t>2022年已完成的作业者开发项目为东南亚MDA-MBH项目，该项目批复概算1.15亿美元，实际发生费用0.89亿美元，节余22.74%</t>
  </si>
  <si>
    <t>已与工程专业沟通，也满足满分的考核要求。</t>
  </si>
  <si>
    <t>塞内加尔80</t>
  </si>
  <si>
    <t>钻井准备</t>
  </si>
  <si>
    <t>完成钻井设计编制</t>
  </si>
  <si>
    <t>6月后完成钻井地质设计审查，完成钻井基本设计除第三方服务商资料外的基本内容编写</t>
  </si>
  <si>
    <t>6月前完成钻井地质设计审查，完成钻井基本设计除第三方服务商资料外的基本内容编写</t>
  </si>
  <si>
    <t>5月前完成钻井地质设计审查，完成钻井基本设计除第三方服务商资料外的基本内容编写</t>
  </si>
  <si>
    <t>已完成钻井地质设计及钻井基本设计除第三方服务商资料外的基本内容编写，钻井地质设计于2月份提请公司审查，因两国协议未落实公司未组织审批。</t>
  </si>
  <si>
    <t>因几比发生政变，两国协议审批受滞，钻井相关工作于4月初暂停，设计审批相应中止。</t>
  </si>
  <si>
    <t>完成钻井设计编写，未完成审查。</t>
  </si>
  <si>
    <t>未完成基本指标要求，但考虑到政府因素等不可抗力原因，建议维持基本目标考核结果。</t>
  </si>
  <si>
    <t>丝路</t>
  </si>
  <si>
    <t>钻完井</t>
  </si>
  <si>
    <r>
      <rPr>
        <sz val="14"/>
        <rFont val="宋体"/>
        <charset val="134"/>
      </rPr>
      <t xml:space="preserve">旧指标按计划完成钻完井工作量及配套建设
</t>
    </r>
    <r>
      <rPr>
        <sz val="14"/>
        <color rgb="FFFF0000"/>
        <rFont val="宋体"/>
        <charset val="134"/>
      </rPr>
      <t>新指标：按计划完成钻完井工作量及配套建设</t>
    </r>
  </si>
  <si>
    <r>
      <rPr>
        <sz val="14"/>
        <rFont val="宋体"/>
        <charset val="134"/>
      </rPr>
      <t xml:space="preserve">钻33口井、完32口井，并完成相应的配套设施建设
</t>
    </r>
    <r>
      <rPr>
        <sz val="14"/>
        <color rgb="FFFF0000"/>
        <rFont val="宋体"/>
        <charset val="134"/>
      </rPr>
      <t xml:space="preserve">
新目标：钻18口井、完21口井，并完成相应的配套设施建设</t>
    </r>
  </si>
  <si>
    <r>
      <rPr>
        <sz val="14"/>
        <rFont val="宋体"/>
        <charset val="134"/>
      </rPr>
      <t xml:space="preserve">钻35口井、完33口井，并完成相应的配套设施建设
</t>
    </r>
    <r>
      <rPr>
        <sz val="14"/>
        <color rgb="FFFF0000"/>
        <rFont val="宋体"/>
        <charset val="134"/>
      </rPr>
      <t>新目标：钻20口井、完23口井，并完成相应的配套设施建设</t>
    </r>
  </si>
  <si>
    <r>
      <rPr>
        <sz val="14"/>
        <rFont val="宋体"/>
        <charset val="134"/>
      </rPr>
      <t xml:space="preserve">钻37口井、完35口井，并完成相应的配套设施建设
</t>
    </r>
    <r>
      <rPr>
        <sz val="14"/>
        <color rgb="FFFF0000"/>
        <rFont val="宋体"/>
        <charset val="134"/>
      </rPr>
      <t xml:space="preserve">
新目标：钻20口井、完23口井，并完成相应的配套设施建设</t>
    </r>
  </si>
  <si>
    <t>2022年钻完井奋斗目标为钻35口井、完33口井。但是由于4月份西方对俄罗斯制裁，导致工程建造进度造成巨大的影响。上游钻完井工作也由于工程建造进度和工程替代方案不确定，以及西方服务公司退出原因，也于8月份被迫停钻了。  根据北极2公司提供数据（见附件3），1-6月份已经钻21口、完24口井，进度是超过出原计划，如果还原到全年，钻完井可以完成挑战目标：钻37口、完35口。评估得分为20分。</t>
  </si>
  <si>
    <t>1-6月份已经钻21口、完24口井，进度是超过出原计划，如果还原到全年，钻完井可以完成挑战目标</t>
  </si>
  <si>
    <t>主要受西方制裁影响，钻完井工作被迫暂停，通过还原可以完成全年调整目标。</t>
  </si>
  <si>
    <t>乌干达</t>
  </si>
  <si>
    <t>油田开发</t>
  </si>
  <si>
    <t>工程、钻完井等主要项目实施进展</t>
  </si>
  <si>
    <t>1、完成工程、钻完井等主要合同签订。
2、PC-1：9月底完成2号井场钻前主要工程施工，具备钻机进场条件；EPC-2：12月底完成详细设计的80%；EPC-3：12月底完成临时营地主要设施建设，具备人员入驻条件；EPC-4：12月底完成详细设计的80%。
3、钻机12月入场，开始调试工作；长线物资（套管、井口和钻头）到达库房。</t>
  </si>
  <si>
    <t>1、完成工程、钻完井等主要合同签订。
2、PC-1：8月底完成2号井场钻前主要工程施工，具备钻机进场条件；EPC-2：12月底完成详细设计的90%；EPC-3：11月底完成临时营地主要设施建设，具备人员入驻条件；EPC-4：12月底完成详细设计的90%。
3、钻机11月入场，开始调试工作；长线物资（套管、井口和钻头）到达库房。</t>
  </si>
  <si>
    <t>1、完成工程、钻完井等主要合同签订。
2、PC-1：8月上旬完成2号井场钻前主要工程施工，具备钻机进场条件；EPC-2：12月底完成详细设计的100%；EPC-3：10月底完成临时营地主要设施建设，具备人员入驻条件；EPC-4：12月底完成详细设计的100%。
3、钻机10月入场，开始调试工作，12月底开钻，钻入新地层；长线物资（套管、井口和钻头）到达库房。</t>
  </si>
  <si>
    <t>1、完成了工程4个EPC合同、电站合同、钻完井一体化服务合同等主要合同签订。
2、PC-1：9月15日完成2号井场钻前主要工程施工，具备钻机进场条件；EPC-2：10月底完成详细设计的100%；EPC-3：12月底完成临时营地主要设施建设，具备人员入驻条件；EPC-4：9月底完成详细设计的100%。
3、2022年9月26日钻机物资到达井场并开始安装调试，11月6日起升井架，11月15日钻机安装全部完成进入调试阶段。钻完井长线物资套管、井口、钻头11月20日均已到达库房，计划12月中旬开钻。</t>
  </si>
  <si>
    <t>2022年9月26日钻机物资到达井场并开始安装调试，11月6日起升井架，11月15日钻机安装全部完成进入调试阶段。具备12月中旬开钻的条件。</t>
  </si>
  <si>
    <t>关键绩效指标-指标定义 / 计量单位</t>
  </si>
  <si>
    <t>关键绩效指标-权重</t>
  </si>
  <si>
    <t>关键绩效指标-目标值-基本目标（80分）</t>
  </si>
  <si>
    <t>关键绩效指标-目标值-目标值奋斗目标（90分）</t>
  </si>
  <si>
    <t>关键绩效指标-目标值-目标值挑战目标（100分）</t>
  </si>
  <si>
    <t>关键绩效指标-业务单元自评-预测全年完成值</t>
  </si>
  <si>
    <t>关键绩效指标-业务单元自评-得分</t>
  </si>
  <si>
    <t>关键绩效指标-业务单元自评-说明</t>
  </si>
  <si>
    <t>关键绩效指标-考评工作组评价-预测全年完成值</t>
  </si>
  <si>
    <t>关键绩效指标-考评工作组评价-得分</t>
  </si>
  <si>
    <t>关键绩效指标-考评工作组评价-说明</t>
  </si>
  <si>
    <t>关键绩效指标-考评工作组评价-评分部门</t>
  </si>
  <si>
    <t>差异化激励约束性指标-考核指标</t>
  </si>
  <si>
    <t>差异化激励约束性指标-目标值（-1）</t>
  </si>
  <si>
    <t>差异化激励约束性指标-目标值（0）</t>
  </si>
  <si>
    <t>差异化激励约束性指标-目标值（1）</t>
  </si>
  <si>
    <t>差异化激励约束性指标-业务单元自评-预测全年完成值</t>
  </si>
  <si>
    <t>差异化激励约束性指标-业务单元自评-得分</t>
  </si>
  <si>
    <t>差异化激励约束性指标-业务单元自评-说明</t>
  </si>
  <si>
    <t>差异化激励约束性指标-考评工作组评价-预测全年完成值</t>
  </si>
  <si>
    <t>差异化激励约束性指标-考评工作组评价-得分</t>
  </si>
  <si>
    <t>差异化激励约束性指标-考评工作组评价-说明</t>
  </si>
  <si>
    <t>差异化激励约束性指标-考评工作组评价-评分部门</t>
  </si>
  <si>
    <t>通用类激励约束指标-考核指标</t>
  </si>
  <si>
    <t>通用类激励约束指标-得分范围（1）</t>
  </si>
  <si>
    <t>通用类激励约束指标-得分范围（2）</t>
  </si>
  <si>
    <t>通用类激励约束指标-得分范围（3）</t>
  </si>
  <si>
    <t>通用类激励约束指标-业务单元自评-扣分</t>
  </si>
  <si>
    <t>通用类激励约束指标-业务单元自评-加分</t>
  </si>
  <si>
    <t>通用类激励约束指标-业务单元自评-说明</t>
  </si>
  <si>
    <t>通用类激励约束指标-业务单元自评-支持材料</t>
  </si>
  <si>
    <t>通用类激励约束指标-考评工作组评价-扣分</t>
  </si>
  <si>
    <t>通用类激励约束指标-考评工作组评价-加分</t>
  </si>
  <si>
    <t>通用类激励约束指标-考评工作组评价-说明</t>
  </si>
  <si>
    <t>得分汇总统计-业务单元自评得分-关键绩效指标</t>
  </si>
  <si>
    <t>得分汇总统计-业务单元自评得分-差异化激励约束指标</t>
  </si>
  <si>
    <t>得分汇总统计-业务单元自评得分-通用类激励约束指标</t>
  </si>
  <si>
    <t>得分汇总统计-考评工作组评价得分-关键绩效指标</t>
  </si>
  <si>
    <t>得分汇总统计-考评工作组评价得分-差异化激励约束指标</t>
  </si>
  <si>
    <t>得分汇总统计-考评工作组评价得分-通用类激励约束指标</t>
  </si>
  <si>
    <t>得分汇总统计-合计</t>
  </si>
</sst>
</file>

<file path=xl/styles.xml><?xml version="1.0" encoding="utf-8"?>
<styleSheet xmlns="http://schemas.openxmlformats.org/spreadsheetml/2006/main" xmlns:xr9="http://schemas.microsoft.com/office/spreadsheetml/2016/revision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quot;$&quot;#,##0.00_);[Red]\(&quot;$&quot;#,##0.00\)"/>
  </numFmts>
  <fonts count="29">
    <font>
      <sz val="11"/>
      <color theme="1"/>
      <name val="等线"/>
      <charset val="134"/>
      <scheme val="minor"/>
    </font>
    <font>
      <sz val="14"/>
      <color theme="1"/>
      <name val="微软雅黑"/>
      <charset val="134"/>
    </font>
    <font>
      <sz val="14"/>
      <color theme="1"/>
      <name val="宋体"/>
      <charset val="134"/>
    </font>
    <font>
      <sz val="14"/>
      <name val="微软雅黑"/>
      <charset val="134"/>
    </font>
    <font>
      <sz val="14"/>
      <name val="宋体"/>
      <charset val="134"/>
    </font>
    <font>
      <b/>
      <sz val="14"/>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name val="Arial"/>
      <charset val="134"/>
    </font>
    <font>
      <sz val="14"/>
      <color rgb="FFFF0000"/>
      <name val="宋体"/>
      <charset val="134"/>
    </font>
    <font>
      <b/>
      <sz val="9"/>
      <name val="宋体"/>
      <charset val="134"/>
    </font>
    <font>
      <sz val="9"/>
      <name val="宋体"/>
      <charset val="134"/>
    </font>
  </fonts>
  <fills count="35">
    <fill>
      <patternFill patternType="none"/>
    </fill>
    <fill>
      <patternFill patternType="gray125"/>
    </fill>
    <fill>
      <patternFill patternType="solid">
        <fgColor theme="0"/>
        <bgColor indexed="64"/>
      </patternFill>
    </fill>
    <fill>
      <patternFill patternType="solid">
        <fgColor theme="5" tint="0.599993896298105"/>
        <bgColor indexed="64"/>
      </patternFill>
    </fill>
    <fill>
      <patternFill patternType="solid">
        <fgColor theme="4"/>
        <bgColor indexed="64"/>
      </patternFill>
    </fill>
    <fill>
      <patternFill patternType="solid">
        <fgColor rgb="FFE8EAEA"/>
        <bgColor indexed="64"/>
      </patternFill>
    </fill>
    <fill>
      <patternFill patternType="solid">
        <fgColor theme="7"/>
        <bgColor indexed="64"/>
      </patternFill>
    </fill>
    <fill>
      <patternFill patternType="solid">
        <fgColor theme="9"/>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medium">
        <color auto="1"/>
      </right>
      <top style="medium">
        <color auto="1"/>
      </top>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9" borderId="1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0" applyNumberFormat="0" applyFill="0" applyAlignment="0" applyProtection="0">
      <alignment vertical="center"/>
    </xf>
    <xf numFmtId="0" fontId="12" fillId="0" borderId="20" applyNumberFormat="0" applyFill="0" applyAlignment="0" applyProtection="0">
      <alignment vertical="center"/>
    </xf>
    <xf numFmtId="0" fontId="13" fillId="0" borderId="21" applyNumberFormat="0" applyFill="0" applyAlignment="0" applyProtection="0">
      <alignment vertical="center"/>
    </xf>
    <xf numFmtId="0" fontId="13" fillId="0" borderId="0" applyNumberFormat="0" applyFill="0" applyBorder="0" applyAlignment="0" applyProtection="0">
      <alignment vertical="center"/>
    </xf>
    <xf numFmtId="0" fontId="14" fillId="10" borderId="22" applyNumberFormat="0" applyAlignment="0" applyProtection="0">
      <alignment vertical="center"/>
    </xf>
    <xf numFmtId="0" fontId="15" fillId="11" borderId="23" applyNumberFormat="0" applyAlignment="0" applyProtection="0">
      <alignment vertical="center"/>
    </xf>
    <xf numFmtId="0" fontId="16" fillId="11" borderId="22" applyNumberFormat="0" applyAlignment="0" applyProtection="0">
      <alignment vertical="center"/>
    </xf>
    <xf numFmtId="0" fontId="17" fillId="12" borderId="24" applyNumberFormat="0" applyAlignment="0" applyProtection="0">
      <alignment vertical="center"/>
    </xf>
    <xf numFmtId="0" fontId="18" fillId="0" borderId="25" applyNumberFormat="0" applyFill="0" applyAlignment="0" applyProtection="0">
      <alignment vertical="center"/>
    </xf>
    <xf numFmtId="0" fontId="19" fillId="0" borderId="26" applyNumberFormat="0" applyFill="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4"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8"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3"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6"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7"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43" fontId="0" fillId="0" borderId="0" applyFont="0" applyFill="0" applyBorder="0" applyAlignment="0" applyProtection="0">
      <alignment vertical="center"/>
    </xf>
  </cellStyleXfs>
  <cellXfs count="112">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xf numFmtId="0" fontId="2" fillId="0" borderId="0" xfId="0" applyFont="1" applyAlignment="1">
      <alignment horizontal="center" vertical="center"/>
    </xf>
    <xf numFmtId="0" fontId="1" fillId="3" borderId="1" xfId="0" applyFont="1" applyFill="1" applyBorder="1" applyAlignment="1">
      <alignment horizontal="center" vertical="center"/>
    </xf>
    <xf numFmtId="0" fontId="1" fillId="4" borderId="2" xfId="0" applyFont="1" applyFill="1" applyBorder="1" applyAlignment="1">
      <alignment horizontal="center" vertical="center"/>
    </xf>
    <xf numFmtId="0" fontId="3" fillId="5" borderId="3" xfId="0" applyFont="1" applyFill="1" applyBorder="1" applyAlignment="1">
      <alignment vertical="center" wrapText="1"/>
    </xf>
    <xf numFmtId="0" fontId="3" fillId="5" borderId="4" xfId="0" applyFont="1" applyFill="1" applyBorder="1" applyAlignment="1">
      <alignment vertical="center" wrapText="1"/>
    </xf>
    <xf numFmtId="0" fontId="3" fillId="5" borderId="5" xfId="0" applyFont="1" applyFill="1" applyBorder="1" applyAlignment="1">
      <alignment vertical="center" wrapText="1"/>
    </xf>
    <xf numFmtId="9" fontId="3" fillId="5" borderId="3" xfId="51" applyNumberFormat="1" applyFont="1" applyFill="1" applyBorder="1" applyAlignment="1">
      <alignment horizontal="center" vertical="center" wrapText="1"/>
    </xf>
    <xf numFmtId="0" fontId="2" fillId="0" borderId="0" xfId="0" applyFont="1" applyFill="1" applyAlignment="1">
      <alignment horizontal="center" vertical="center"/>
    </xf>
    <xf numFmtId="0" fontId="1" fillId="4" borderId="6" xfId="0" applyFont="1" applyFill="1" applyBorder="1" applyAlignment="1">
      <alignment horizontal="center" vertical="center"/>
    </xf>
    <xf numFmtId="0" fontId="1" fillId="6" borderId="7" xfId="0" applyFont="1" applyFill="1" applyBorder="1" applyAlignment="1">
      <alignment horizontal="center" vertical="center"/>
    </xf>
    <xf numFmtId="0" fontId="3" fillId="5" borderId="3"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6" borderId="2" xfId="0" applyFont="1" applyFill="1" applyBorder="1" applyAlignment="1">
      <alignment horizontal="center" vertical="center"/>
    </xf>
    <xf numFmtId="0" fontId="3" fillId="5" borderId="3" xfId="0" applyNumberFormat="1" applyFont="1" applyFill="1" applyBorder="1" applyAlignment="1">
      <alignment horizontal="center" vertical="center" wrapText="1"/>
    </xf>
    <xf numFmtId="0" fontId="1" fillId="6" borderId="6"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2" xfId="0" applyFont="1" applyFill="1" applyBorder="1" applyAlignment="1">
      <alignment horizontal="center" vertical="center"/>
    </xf>
    <xf numFmtId="0" fontId="3" fillId="5" borderId="9" xfId="0" applyFont="1" applyFill="1" applyBorder="1" applyAlignment="1">
      <alignment vertical="center" wrapText="1"/>
    </xf>
    <xf numFmtId="0" fontId="1" fillId="8" borderId="1" xfId="0" applyFont="1" applyFill="1" applyBorder="1" applyAlignment="1">
      <alignment horizontal="center" vertical="center"/>
    </xf>
    <xf numFmtId="0" fontId="3" fillId="5" borderId="8" xfId="0" applyFont="1" applyFill="1" applyBorder="1" applyAlignment="1">
      <alignment horizontal="center" vertical="center" wrapText="1"/>
    </xf>
    <xf numFmtId="0" fontId="1" fillId="5" borderId="3" xfId="0" applyFont="1" applyFill="1" applyBorder="1" applyAlignment="1">
      <alignment vertical="center"/>
    </xf>
    <xf numFmtId="0" fontId="2" fillId="0" borderId="0" xfId="0" applyFont="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3" borderId="1"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2"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9" fontId="5" fillId="0" borderId="3" xfId="51" applyNumberFormat="1"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3" xfId="0" applyFont="1" applyFill="1" applyBorder="1" applyAlignment="1">
      <alignment horizontal="left" vertical="center" wrapText="1"/>
    </xf>
    <xf numFmtId="9" fontId="2" fillId="2" borderId="3" xfId="0" applyNumberFormat="1" applyFont="1" applyFill="1" applyBorder="1" applyAlignment="1">
      <alignment horizontal="left" vertical="center" wrapText="1"/>
    </xf>
    <xf numFmtId="176" fontId="2" fillId="2" borderId="3" xfId="0" applyNumberFormat="1" applyFont="1" applyFill="1" applyBorder="1" applyAlignment="1">
      <alignment horizontal="left" vertical="center" wrapText="1"/>
    </xf>
    <xf numFmtId="0" fontId="2" fillId="2" borderId="3" xfId="0" applyFont="1" applyFill="1" applyBorder="1" applyAlignment="1">
      <alignment horizontal="center" vertical="center" wrapText="1"/>
    </xf>
    <xf numFmtId="9" fontId="2" fillId="2" borderId="3" xfId="0" applyNumberFormat="1" applyFont="1" applyFill="1" applyBorder="1" applyAlignment="1">
      <alignment horizontal="center" vertical="center" wrapText="1"/>
    </xf>
    <xf numFmtId="176" fontId="2" fillId="2" borderId="3" xfId="0" applyNumberFormat="1" applyFont="1" applyFill="1" applyBorder="1" applyAlignment="1">
      <alignment horizontal="center" vertical="center" wrapText="1"/>
    </xf>
    <xf numFmtId="9" fontId="4" fillId="2" borderId="3" xfId="0" applyNumberFormat="1" applyFont="1" applyFill="1" applyBorder="1" applyAlignment="1">
      <alignment horizontal="center" vertical="center" wrapText="1"/>
    </xf>
    <xf numFmtId="176" fontId="4" fillId="2" borderId="3" xfId="0" applyNumberFormat="1" applyFont="1" applyFill="1" applyBorder="1" applyAlignment="1">
      <alignment horizontal="center" vertical="center" wrapText="1"/>
    </xf>
    <xf numFmtId="0" fontId="4" fillId="2" borderId="3" xfId="52" applyFont="1" applyFill="1" applyBorder="1" applyAlignment="1">
      <alignment horizontal="center" vertical="center" wrapText="1"/>
    </xf>
    <xf numFmtId="9" fontId="4" fillId="2" borderId="3" xfId="52" applyNumberFormat="1" applyFont="1" applyFill="1" applyBorder="1" applyAlignment="1">
      <alignment horizontal="center" vertical="center" wrapText="1"/>
    </xf>
    <xf numFmtId="177" fontId="4" fillId="2" borderId="3" xfId="51" applyNumberFormat="1" applyFont="1" applyFill="1" applyBorder="1" applyAlignment="1">
      <alignment horizontal="center" vertical="center" wrapText="1"/>
    </xf>
    <xf numFmtId="0" fontId="4" fillId="2" borderId="3" xfId="51" applyFont="1" applyFill="1" applyBorder="1" applyAlignment="1">
      <alignment horizontal="center" vertical="center" wrapText="1"/>
    </xf>
    <xf numFmtId="9" fontId="4" fillId="2" borderId="3" xfId="51" applyNumberFormat="1" applyFont="1" applyFill="1" applyBorder="1" applyAlignment="1">
      <alignment horizontal="center" vertical="center" wrapText="1"/>
    </xf>
    <xf numFmtId="9" fontId="2" fillId="2" borderId="3" xfId="0" applyNumberFormat="1" applyFont="1" applyFill="1" applyBorder="1" applyAlignment="1">
      <alignment horizontal="center" vertical="center"/>
    </xf>
    <xf numFmtId="177" fontId="2" fillId="2" borderId="3" xfId="51" applyNumberFormat="1" applyFont="1" applyFill="1" applyBorder="1" applyAlignment="1">
      <alignment horizontal="center" vertical="center" wrapText="1"/>
    </xf>
    <xf numFmtId="0" fontId="4" fillId="2" borderId="3" xfId="51" applyFont="1" applyFill="1" applyBorder="1" applyAlignment="1">
      <alignment horizontal="left" vertical="center" wrapText="1"/>
    </xf>
    <xf numFmtId="9" fontId="4" fillId="2" borderId="3" xfId="53" applyNumberFormat="1" applyFont="1" applyFill="1" applyBorder="1" applyAlignment="1">
      <alignment horizontal="center" vertical="center" wrapText="1"/>
    </xf>
    <xf numFmtId="0" fontId="2" fillId="2" borderId="4" xfId="0" applyFont="1" applyFill="1" applyBorder="1" applyAlignment="1">
      <alignment horizontal="center" vertical="center"/>
    </xf>
    <xf numFmtId="177" fontId="4" fillId="2" borderId="3" xfId="51" applyNumberFormat="1" applyFont="1" applyFill="1" applyBorder="1" applyAlignment="1">
      <alignment horizontal="left" vertical="center" wrapText="1"/>
    </xf>
    <xf numFmtId="2" fontId="4" fillId="2" borderId="3" xfId="51" applyNumberFormat="1" applyFont="1" applyFill="1" applyBorder="1" applyAlignment="1">
      <alignment horizontal="left" vertical="center" wrapText="1"/>
    </xf>
    <xf numFmtId="0" fontId="2" fillId="4" borderId="6" xfId="0" applyFont="1" applyFill="1" applyBorder="1" applyAlignment="1">
      <alignment horizontal="center" vertical="center"/>
    </xf>
    <xf numFmtId="0" fontId="2" fillId="6" borderId="7"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2" fillId="2" borderId="8" xfId="0" applyFont="1" applyFill="1" applyBorder="1" applyAlignment="1">
      <alignment horizontal="center" vertical="center"/>
    </xf>
    <xf numFmtId="10" fontId="2" fillId="2" borderId="3" xfId="0" applyNumberFormat="1" applyFont="1" applyFill="1" applyBorder="1" applyAlignment="1">
      <alignment horizontal="center" vertical="center"/>
    </xf>
    <xf numFmtId="0" fontId="4" fillId="2" borderId="3" xfId="0" applyFont="1" applyFill="1" applyBorder="1" applyAlignment="1">
      <alignment horizontal="left" vertical="center" wrapText="1"/>
    </xf>
    <xf numFmtId="10" fontId="4" fillId="2" borderId="3" xfId="0" applyNumberFormat="1" applyFont="1" applyFill="1" applyBorder="1" applyAlignment="1">
      <alignment horizontal="left" vertical="center" wrapText="1"/>
    </xf>
    <xf numFmtId="0" fontId="2" fillId="2" borderId="3" xfId="0" applyFont="1" applyFill="1" applyBorder="1" applyAlignment="1">
      <alignment horizontal="left" vertical="center"/>
    </xf>
    <xf numFmtId="0" fontId="4" fillId="2" borderId="8" xfId="0" applyFont="1" applyFill="1" applyBorder="1" applyAlignment="1">
      <alignment horizontal="center" vertical="center" wrapText="1"/>
    </xf>
    <xf numFmtId="10" fontId="4" fillId="2" borderId="3" xfId="0" applyNumberFormat="1"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3" xfId="0" applyNumberFormat="1" applyFont="1" applyFill="1" applyBorder="1" applyAlignment="1">
      <alignment horizontal="center" vertical="center" wrapText="1"/>
    </xf>
    <xf numFmtId="178" fontId="4" fillId="2" borderId="3"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xf>
    <xf numFmtId="0" fontId="2" fillId="2" borderId="8" xfId="0" applyFont="1" applyFill="1" applyBorder="1" applyAlignment="1">
      <alignment horizontal="center" vertical="center" wrapText="1"/>
    </xf>
    <xf numFmtId="0" fontId="4" fillId="2" borderId="3" xfId="51" applyFont="1" applyFill="1" applyBorder="1" applyAlignment="1">
      <alignment vertical="center" wrapText="1"/>
    </xf>
    <xf numFmtId="0" fontId="2" fillId="2" borderId="8" xfId="0" applyFont="1" applyFill="1" applyBorder="1" applyAlignment="1">
      <alignment horizontal="left" vertical="center" wrapText="1"/>
    </xf>
    <xf numFmtId="0" fontId="2" fillId="6" borderId="2" xfId="0" applyFont="1" applyFill="1" applyBorder="1" applyAlignment="1">
      <alignment horizontal="center" vertical="center"/>
    </xf>
    <xf numFmtId="0" fontId="4" fillId="0" borderId="3" xfId="0" applyNumberFormat="1" applyFont="1" applyBorder="1" applyAlignment="1">
      <alignment horizontal="center" vertical="center" wrapText="1"/>
    </xf>
    <xf numFmtId="0" fontId="2" fillId="2" borderId="5" xfId="0" applyFont="1" applyFill="1" applyBorder="1" applyAlignment="1">
      <alignment horizontal="center" vertical="center"/>
    </xf>
    <xf numFmtId="0" fontId="2" fillId="2" borderId="8" xfId="0" applyFont="1" applyFill="1" applyBorder="1" applyAlignment="1">
      <alignment horizontal="left" vertical="center"/>
    </xf>
    <xf numFmtId="0" fontId="2" fillId="2" borderId="5" xfId="0" applyFont="1" applyFill="1" applyBorder="1" applyAlignment="1">
      <alignment horizontal="left" vertical="center"/>
    </xf>
    <xf numFmtId="0" fontId="4" fillId="2" borderId="5" xfId="0" applyFont="1" applyFill="1" applyBorder="1" applyAlignment="1">
      <alignment horizontal="center" vertical="center" wrapText="1"/>
    </xf>
    <xf numFmtId="177" fontId="4" fillId="2" borderId="3" xfId="0" applyNumberFormat="1" applyFont="1" applyFill="1" applyBorder="1" applyAlignment="1">
      <alignment horizontal="center" vertical="center" wrapText="1"/>
    </xf>
    <xf numFmtId="0" fontId="2" fillId="6" borderId="6" xfId="0" applyFont="1" applyFill="1" applyBorder="1" applyAlignment="1">
      <alignment horizontal="center" vertical="center"/>
    </xf>
    <xf numFmtId="0" fontId="2" fillId="7" borderId="7" xfId="0" applyFont="1" applyFill="1" applyBorder="1" applyAlignment="1">
      <alignment horizontal="center" vertical="center"/>
    </xf>
    <xf numFmtId="0" fontId="2" fillId="7" borderId="2" xfId="0" applyFont="1" applyFill="1" applyBorder="1" applyAlignment="1">
      <alignment horizontal="center" vertical="center"/>
    </xf>
    <xf numFmtId="0" fontId="4" fillId="0" borderId="9"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6" xfId="0" applyFont="1" applyBorder="1" applyAlignment="1">
      <alignment horizontal="center" vertical="center" wrapText="1"/>
    </xf>
    <xf numFmtId="0" fontId="2" fillId="2" borderId="16" xfId="0" applyFont="1" applyFill="1" applyBorder="1" applyAlignment="1">
      <alignment horizontal="center" vertical="center"/>
    </xf>
    <xf numFmtId="0" fontId="4" fillId="2" borderId="3" xfId="0" applyFont="1" applyFill="1" applyBorder="1" applyAlignment="1">
      <alignment vertical="center" wrapText="1"/>
    </xf>
    <xf numFmtId="177" fontId="4" fillId="2" borderId="3" xfId="0" applyNumberFormat="1" applyFont="1" applyFill="1" applyBorder="1" applyAlignment="1">
      <alignment horizontal="left" vertical="center" wrapText="1"/>
    </xf>
    <xf numFmtId="0" fontId="4" fillId="0" borderId="16" xfId="0" applyFont="1" applyBorder="1" applyAlignment="1">
      <alignment horizontal="center" vertical="center" wrapText="1"/>
    </xf>
    <xf numFmtId="0" fontId="4" fillId="0" borderId="5" xfId="0" applyFont="1" applyBorder="1" applyAlignment="1">
      <alignment horizontal="center" vertical="center" wrapText="1"/>
    </xf>
    <xf numFmtId="10" fontId="4" fillId="2" borderId="3" xfId="0" applyNumberFormat="1" applyFont="1" applyFill="1" applyBorder="1" applyAlignment="1">
      <alignment vertical="center" wrapText="1"/>
    </xf>
    <xf numFmtId="0" fontId="4" fillId="2" borderId="8" xfId="0" applyFont="1" applyFill="1" applyBorder="1" applyAlignment="1">
      <alignment horizontal="left" vertical="center" wrapText="1"/>
    </xf>
    <xf numFmtId="0" fontId="4" fillId="2" borderId="5" xfId="0" applyFont="1" applyFill="1" applyBorder="1" applyAlignment="1">
      <alignment horizontal="left" vertical="center" wrapText="1"/>
    </xf>
    <xf numFmtId="0" fontId="2" fillId="7" borderId="6" xfId="0" applyFont="1" applyFill="1" applyBorder="1" applyAlignment="1">
      <alignment horizontal="center" vertical="center"/>
    </xf>
    <xf numFmtId="0" fontId="2" fillId="8" borderId="1" xfId="0" applyFont="1" applyFill="1" applyBorder="1" applyAlignment="1">
      <alignment horizontal="center" vertical="center"/>
    </xf>
    <xf numFmtId="0" fontId="2" fillId="0" borderId="7" xfId="0" applyFont="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10" fontId="2" fillId="2" borderId="3" xfId="0" applyNumberFormat="1" applyFont="1" applyFill="1" applyBorder="1" applyAlignment="1">
      <alignment horizontal="left" vertical="center"/>
    </xf>
    <xf numFmtId="0" fontId="2" fillId="2" borderId="1" xfId="0" applyFont="1" applyFill="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2" borderId="1" xfId="0" applyNumberFormat="1" applyFont="1" applyFill="1" applyBorder="1" applyAlignment="1">
      <alignment horizontal="center" vertical="center"/>
    </xf>
    <xf numFmtId="9" fontId="4" fillId="2" borderId="3" xfId="53" applyNumberFormat="1" applyFont="1" applyFill="1" applyBorder="1" applyAlignment="1" quotePrefix="1">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2" xfId="49"/>
    <cellStyle name="Normal 4" xfId="50"/>
    <cellStyle name="常规 2" xfId="51"/>
    <cellStyle name="常规 41" xfId="52"/>
    <cellStyle name="千位分隔 2" xfId="53"/>
  </cellStyles>
  <tableStyles count="0" defaultTableStyle="TableStyleMedium2" defaultPivotStyle="PivotStyleLight16"/>
  <colors>
    <mruColors>
      <color rgb="00E8EA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49"/>
  <sheetViews>
    <sheetView zoomScale="70" zoomScaleNormal="70" workbookViewId="0">
      <pane xSplit="2" ySplit="5" topLeftCell="D6" activePane="bottomRight" state="frozen"/>
      <selection/>
      <selection pane="topRight"/>
      <selection pane="bottomLeft"/>
      <selection pane="bottomRight" activeCell="G12" sqref="G12"/>
    </sheetView>
  </sheetViews>
  <sheetFormatPr defaultColWidth="9" defaultRowHeight="18.75"/>
  <cols>
    <col min="1" max="1" width="5.125" style="3" customWidth="1"/>
    <col min="2" max="2" width="15.875" style="3" customWidth="1"/>
    <col min="3" max="3" width="22.625" style="3" customWidth="1"/>
    <col min="4" max="4" width="34.875" style="3" customWidth="1"/>
    <col min="5" max="5" width="11.625" style="3" customWidth="1"/>
    <col min="6" max="8" width="33" style="3" customWidth="1"/>
    <col min="9" max="9" width="45.875" style="3" customWidth="1"/>
    <col min="10" max="10" width="14.875" style="3" customWidth="1"/>
    <col min="11" max="11" width="69.625" style="3" customWidth="1"/>
    <col min="12" max="12" width="25.875" style="3" customWidth="1"/>
    <col min="13" max="13" width="14.75" style="3" customWidth="1"/>
    <col min="14" max="14" width="23.625" style="3" customWidth="1"/>
    <col min="15" max="15" width="11.875" style="3" customWidth="1"/>
    <col min="16" max="16" width="12.375" style="3" customWidth="1"/>
    <col min="17" max="17" width="9" style="3"/>
    <col min="18" max="18" width="16.875" style="3" customWidth="1"/>
    <col min="19" max="21" width="16" style="3" customWidth="1"/>
    <col min="22" max="23" width="9" style="3" hidden="1" customWidth="1"/>
    <col min="24" max="24" width="16.875" style="3" hidden="1" customWidth="1"/>
    <col min="25" max="25" width="30.625" style="3" hidden="1" customWidth="1"/>
    <col min="26" max="26" width="24.25" style="3" customWidth="1"/>
    <col min="27" max="27" width="9.125" style="3" customWidth="1"/>
    <col min="28" max="28" width="20.25" style="3" customWidth="1"/>
    <col min="29" max="29" width="27.125" style="3" customWidth="1"/>
    <col min="30" max="32" width="9" style="3" customWidth="1"/>
    <col min="33" max="33" width="11.875" style="3" customWidth="1"/>
    <col min="34" max="35" width="9.375" style="3" customWidth="1"/>
    <col min="36" max="36" width="17.125" style="3" hidden="1" customWidth="1"/>
    <col min="37" max="37" width="14.5" style="3" hidden="1" customWidth="1"/>
    <col min="38" max="39" width="16.5" style="3" hidden="1" customWidth="1"/>
    <col min="40" max="40" width="9" style="3" hidden="1" customWidth="1"/>
    <col min="41" max="44" width="9" style="3" customWidth="1"/>
    <col min="45" max="45" width="19.75" style="3" customWidth="1"/>
    <col min="46" max="47" width="30.875" style="3" customWidth="1"/>
    <col min="48" max="48" width="19.625" style="3" customWidth="1"/>
    <col min="49" max="50" width="30.875" style="3" customWidth="1"/>
    <col min="51" max="51" width="25.5" style="3" customWidth="1"/>
    <col min="52" max="16384" width="9" style="3"/>
  </cols>
  <sheetData>
    <row r="1" ht="14.25" spans="1:51">
      <c r="A1" s="26"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109"/>
    </row>
    <row r="2" ht="15" spans="1:51">
      <c r="A2" s="28"/>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110"/>
    </row>
    <row r="3" spans="1:51">
      <c r="A3" s="30" t="s">
        <v>1</v>
      </c>
      <c r="B3" s="30"/>
      <c r="C3" s="31" t="s">
        <v>2</v>
      </c>
      <c r="D3" s="32"/>
      <c r="E3" s="32"/>
      <c r="F3" s="32"/>
      <c r="G3" s="32"/>
      <c r="H3" s="32"/>
      <c r="I3" s="32"/>
      <c r="J3" s="32"/>
      <c r="K3" s="32"/>
      <c r="L3" s="32"/>
      <c r="M3" s="32"/>
      <c r="N3" s="32"/>
      <c r="O3" s="58"/>
      <c r="P3" s="59" t="s">
        <v>3</v>
      </c>
      <c r="Q3" s="76"/>
      <c r="R3" s="76"/>
      <c r="S3" s="76"/>
      <c r="T3" s="76"/>
      <c r="U3" s="76"/>
      <c r="V3" s="76"/>
      <c r="W3" s="76"/>
      <c r="X3" s="76"/>
      <c r="Y3" s="76"/>
      <c r="Z3" s="76"/>
      <c r="AA3" s="76"/>
      <c r="AB3" s="76"/>
      <c r="AC3" s="83"/>
      <c r="AD3" s="84" t="s">
        <v>4</v>
      </c>
      <c r="AE3" s="85"/>
      <c r="AF3" s="85"/>
      <c r="AG3" s="85"/>
      <c r="AH3" s="85"/>
      <c r="AI3" s="85"/>
      <c r="AJ3" s="85"/>
      <c r="AK3" s="85"/>
      <c r="AL3" s="85"/>
      <c r="AM3" s="85"/>
      <c r="AN3" s="85"/>
      <c r="AO3" s="85"/>
      <c r="AP3" s="85"/>
      <c r="AQ3" s="85"/>
      <c r="AR3" s="100"/>
      <c r="AS3" s="101" t="s">
        <v>5</v>
      </c>
      <c r="AT3" s="101"/>
      <c r="AU3" s="101"/>
      <c r="AV3" s="101"/>
      <c r="AW3" s="101"/>
      <c r="AX3" s="101"/>
      <c r="AY3" s="101"/>
    </row>
    <row r="4" spans="1:51">
      <c r="A4" s="33" t="s">
        <v>6</v>
      </c>
      <c r="B4" s="34" t="s">
        <v>7</v>
      </c>
      <c r="C4" s="33" t="s">
        <v>2</v>
      </c>
      <c r="D4" s="33" t="s">
        <v>8</v>
      </c>
      <c r="E4" s="33" t="s">
        <v>9</v>
      </c>
      <c r="F4" s="33" t="s">
        <v>10</v>
      </c>
      <c r="G4" s="33"/>
      <c r="H4" s="33"/>
      <c r="I4" s="60" t="s">
        <v>11</v>
      </c>
      <c r="J4" s="60"/>
      <c r="K4" s="60"/>
      <c r="L4" s="60" t="s">
        <v>12</v>
      </c>
      <c r="M4" s="60"/>
      <c r="N4" s="60"/>
      <c r="O4" s="60"/>
      <c r="P4" s="60" t="s">
        <v>13</v>
      </c>
      <c r="Q4" s="60" t="s">
        <v>8</v>
      </c>
      <c r="R4" s="60"/>
      <c r="S4" s="60" t="s">
        <v>10</v>
      </c>
      <c r="T4" s="60"/>
      <c r="U4" s="60"/>
      <c r="V4" s="60" t="s">
        <v>11</v>
      </c>
      <c r="W4" s="60"/>
      <c r="X4" s="60"/>
      <c r="Y4" s="60"/>
      <c r="Z4" s="60" t="s">
        <v>12</v>
      </c>
      <c r="AA4" s="60"/>
      <c r="AB4" s="60"/>
      <c r="AC4" s="60"/>
      <c r="AD4" s="86" t="s">
        <v>13</v>
      </c>
      <c r="AE4" s="87"/>
      <c r="AF4" s="88"/>
      <c r="AG4" s="86" t="s">
        <v>14</v>
      </c>
      <c r="AH4" s="87"/>
      <c r="AI4" s="88"/>
      <c r="AJ4" s="61" t="s">
        <v>11</v>
      </c>
      <c r="AK4" s="95"/>
      <c r="AL4" s="95"/>
      <c r="AM4" s="95"/>
      <c r="AN4" s="96"/>
      <c r="AO4" s="61" t="s">
        <v>12</v>
      </c>
      <c r="AP4" s="95"/>
      <c r="AQ4" s="95"/>
      <c r="AR4" s="96"/>
      <c r="AS4" s="102" t="s">
        <v>15</v>
      </c>
      <c r="AT4" s="103"/>
      <c r="AU4" s="104"/>
      <c r="AV4" s="105" t="s">
        <v>16</v>
      </c>
      <c r="AW4" s="105"/>
      <c r="AX4" s="105"/>
      <c r="AY4" s="106" t="s">
        <v>17</v>
      </c>
    </row>
    <row r="5" ht="37.5" spans="1:51">
      <c r="A5" s="33"/>
      <c r="B5" s="35"/>
      <c r="C5" s="33"/>
      <c r="D5" s="33"/>
      <c r="E5" s="33"/>
      <c r="F5" s="36" t="s">
        <v>18</v>
      </c>
      <c r="G5" s="36" t="s">
        <v>19</v>
      </c>
      <c r="H5" s="36" t="s">
        <v>20</v>
      </c>
      <c r="I5" s="60" t="s">
        <v>21</v>
      </c>
      <c r="J5" s="60" t="s">
        <v>22</v>
      </c>
      <c r="K5" s="60" t="s">
        <v>23</v>
      </c>
      <c r="L5" s="60" t="s">
        <v>21</v>
      </c>
      <c r="M5" s="60" t="s">
        <v>22</v>
      </c>
      <c r="N5" s="61" t="s">
        <v>23</v>
      </c>
      <c r="O5" s="60" t="s">
        <v>24</v>
      </c>
      <c r="P5" s="60"/>
      <c r="Q5" s="60"/>
      <c r="R5" s="60"/>
      <c r="S5" s="77">
        <v>-1</v>
      </c>
      <c r="T5" s="77">
        <v>0</v>
      </c>
      <c r="U5" s="77">
        <v>1</v>
      </c>
      <c r="V5" s="60" t="s">
        <v>21</v>
      </c>
      <c r="W5" s="60"/>
      <c r="X5" s="60" t="s">
        <v>22</v>
      </c>
      <c r="Y5" s="60" t="s">
        <v>23</v>
      </c>
      <c r="Z5" s="60" t="s">
        <v>21</v>
      </c>
      <c r="AA5" s="60" t="s">
        <v>22</v>
      </c>
      <c r="AB5" s="60" t="s">
        <v>23</v>
      </c>
      <c r="AC5" s="60" t="s">
        <v>24</v>
      </c>
      <c r="AD5" s="89"/>
      <c r="AE5" s="90"/>
      <c r="AF5" s="91"/>
      <c r="AG5" s="89"/>
      <c r="AH5" s="90"/>
      <c r="AI5" s="91"/>
      <c r="AJ5" s="60" t="s">
        <v>25</v>
      </c>
      <c r="AK5" s="60" t="s">
        <v>26</v>
      </c>
      <c r="AL5" s="61" t="s">
        <v>23</v>
      </c>
      <c r="AM5" s="96"/>
      <c r="AN5" s="60" t="s">
        <v>27</v>
      </c>
      <c r="AO5" s="60" t="s">
        <v>25</v>
      </c>
      <c r="AP5" s="60" t="s">
        <v>26</v>
      </c>
      <c r="AQ5" s="61" t="s">
        <v>23</v>
      </c>
      <c r="AR5" s="96"/>
      <c r="AS5" s="106" t="s">
        <v>2</v>
      </c>
      <c r="AT5" s="106" t="s">
        <v>28</v>
      </c>
      <c r="AU5" s="106" t="s">
        <v>4</v>
      </c>
      <c r="AV5" s="106" t="s">
        <v>2</v>
      </c>
      <c r="AW5" s="106" t="s">
        <v>28</v>
      </c>
      <c r="AX5" s="106" t="s">
        <v>4</v>
      </c>
      <c r="AY5" s="106"/>
    </row>
    <row r="6" ht="30.95" customHeight="1" spans="1:51">
      <c r="A6" s="37">
        <v>1</v>
      </c>
      <c r="B6" s="37" t="s">
        <v>29</v>
      </c>
      <c r="C6" s="37"/>
      <c r="D6" s="37"/>
      <c r="E6" s="37"/>
      <c r="F6" s="37"/>
      <c r="G6" s="37"/>
      <c r="H6" s="37"/>
      <c r="I6" s="62"/>
      <c r="J6" s="63"/>
      <c r="K6" s="37"/>
      <c r="L6" s="37"/>
      <c r="M6" s="37"/>
      <c r="N6" s="37"/>
      <c r="O6" s="37"/>
      <c r="P6" s="37"/>
      <c r="Q6" s="37"/>
      <c r="R6" s="37"/>
      <c r="S6" s="37"/>
      <c r="T6" s="37"/>
      <c r="U6" s="37"/>
      <c r="V6" s="62"/>
      <c r="W6" s="78"/>
      <c r="X6" s="37"/>
      <c r="Y6" s="37"/>
      <c r="Z6" s="37"/>
      <c r="AA6" s="37"/>
      <c r="AB6" s="37"/>
      <c r="AC6" s="37"/>
      <c r="AD6" s="62"/>
      <c r="AE6" s="92"/>
      <c r="AF6" s="78"/>
      <c r="AG6" s="37"/>
      <c r="AH6" s="37"/>
      <c r="AI6" s="37"/>
      <c r="AJ6" s="63">
        <v>-0.01</v>
      </c>
      <c r="AK6" s="63">
        <v>0.02</v>
      </c>
      <c r="AL6" s="62"/>
      <c r="AM6" s="78"/>
      <c r="AN6" s="37"/>
      <c r="AO6" s="37"/>
      <c r="AP6" s="37"/>
      <c r="AQ6" s="37"/>
      <c r="AR6" s="37"/>
      <c r="AS6" s="63"/>
      <c r="AT6" s="63"/>
      <c r="AU6" s="63"/>
      <c r="AV6" s="63">
        <v>0</v>
      </c>
      <c r="AW6" s="63" t="s">
        <v>30</v>
      </c>
      <c r="AX6" s="63">
        <v>0</v>
      </c>
      <c r="AY6" s="72">
        <f t="shared" ref="AY6:AY12" si="0">SUM(AS6:AX6)</f>
        <v>0</v>
      </c>
    </row>
    <row r="7" s="25" customFormat="1" ht="30.95" customHeight="1" spans="1:51">
      <c r="A7" s="37">
        <v>2</v>
      </c>
      <c r="B7" s="37" t="s">
        <v>31</v>
      </c>
      <c r="C7" s="38"/>
      <c r="D7" s="38"/>
      <c r="E7" s="39"/>
      <c r="F7" s="40"/>
      <c r="G7" s="40"/>
      <c r="H7" s="40"/>
      <c r="I7" s="64"/>
      <c r="J7" s="65"/>
      <c r="K7" s="64"/>
      <c r="L7" s="66"/>
      <c r="M7" s="66"/>
      <c r="N7" s="66"/>
      <c r="O7" s="66"/>
      <c r="P7" s="66"/>
      <c r="Q7" s="66"/>
      <c r="R7" s="66"/>
      <c r="S7" s="66"/>
      <c r="T7" s="66"/>
      <c r="U7" s="66"/>
      <c r="V7" s="79"/>
      <c r="W7" s="80"/>
      <c r="X7" s="66"/>
      <c r="Y7" s="66"/>
      <c r="Z7" s="66"/>
      <c r="AA7" s="66"/>
      <c r="AB7" s="66"/>
      <c r="AC7" s="66"/>
      <c r="AD7" s="37" t="s">
        <v>32</v>
      </c>
      <c r="AE7" s="37"/>
      <c r="AF7" s="37"/>
      <c r="AG7" s="44">
        <v>-0.4</v>
      </c>
      <c r="AH7" s="44">
        <v>0</v>
      </c>
      <c r="AI7" s="44" t="s">
        <v>33</v>
      </c>
      <c r="AJ7" s="66"/>
      <c r="AK7" s="66"/>
      <c r="AL7" s="79"/>
      <c r="AM7" s="80"/>
      <c r="AN7" s="66"/>
      <c r="AO7" s="66"/>
      <c r="AP7" s="66"/>
      <c r="AQ7" s="66"/>
      <c r="AR7" s="66"/>
      <c r="AS7" s="107"/>
      <c r="AT7" s="107"/>
      <c r="AU7" s="107"/>
      <c r="AV7" s="107">
        <v>0</v>
      </c>
      <c r="AW7" s="107" t="s">
        <v>30</v>
      </c>
      <c r="AX7" s="107">
        <v>0</v>
      </c>
      <c r="AY7" s="72">
        <f t="shared" si="0"/>
        <v>0</v>
      </c>
    </row>
    <row r="8" ht="30.95" customHeight="1" spans="1:51">
      <c r="A8" s="37">
        <v>3</v>
      </c>
      <c r="B8" s="37" t="s">
        <v>34</v>
      </c>
      <c r="C8" s="41"/>
      <c r="D8" s="41"/>
      <c r="E8" s="42"/>
      <c r="F8" s="43"/>
      <c r="G8" s="43"/>
      <c r="H8" s="43"/>
      <c r="I8" s="67"/>
      <c r="J8" s="68"/>
      <c r="K8" s="33"/>
      <c r="L8" s="37"/>
      <c r="M8" s="37"/>
      <c r="N8" s="37"/>
      <c r="O8" s="37"/>
      <c r="P8" s="37"/>
      <c r="Q8" s="62"/>
      <c r="R8" s="78"/>
      <c r="S8" s="37"/>
      <c r="T8" s="37"/>
      <c r="U8" s="37"/>
      <c r="V8" s="62"/>
      <c r="W8" s="78"/>
      <c r="X8" s="37"/>
      <c r="Y8" s="37"/>
      <c r="Z8" s="37"/>
      <c r="AA8" s="37"/>
      <c r="AB8" s="37"/>
      <c r="AC8" s="37"/>
      <c r="AD8" s="62"/>
      <c r="AE8" s="92"/>
      <c r="AF8" s="78"/>
      <c r="AG8" s="37"/>
      <c r="AH8" s="37"/>
      <c r="AI8" s="37"/>
      <c r="AJ8" s="37"/>
      <c r="AK8" s="37"/>
      <c r="AL8" s="62"/>
      <c r="AM8" s="78"/>
      <c r="AN8" s="37"/>
      <c r="AO8" s="37"/>
      <c r="AP8" s="37"/>
      <c r="AQ8" s="37"/>
      <c r="AR8" s="37"/>
      <c r="AS8" s="63"/>
      <c r="AT8" s="63"/>
      <c r="AU8" s="63"/>
      <c r="AV8" s="63">
        <v>0</v>
      </c>
      <c r="AW8" s="63">
        <v>0</v>
      </c>
      <c r="AX8" s="63">
        <v>0</v>
      </c>
      <c r="AY8" s="72">
        <f t="shared" si="0"/>
        <v>0</v>
      </c>
    </row>
    <row r="9" ht="26.45" customHeight="1" spans="1:51">
      <c r="A9" s="37">
        <v>5</v>
      </c>
      <c r="B9" s="37" t="s">
        <v>35</v>
      </c>
      <c r="C9" s="33"/>
      <c r="D9" s="33"/>
      <c r="E9" s="33"/>
      <c r="F9" s="33"/>
      <c r="G9" s="33"/>
      <c r="H9" s="33"/>
      <c r="I9" s="69"/>
      <c r="J9" s="70"/>
      <c r="K9" s="64"/>
      <c r="L9" s="33"/>
      <c r="M9" s="44"/>
      <c r="N9" s="55"/>
      <c r="O9" s="55"/>
      <c r="P9" s="37"/>
      <c r="Q9" s="37"/>
      <c r="R9" s="37"/>
      <c r="S9" s="37"/>
      <c r="T9" s="37"/>
      <c r="U9" s="37"/>
      <c r="V9" s="62"/>
      <c r="W9" s="78"/>
      <c r="X9" s="37"/>
      <c r="Y9" s="37"/>
      <c r="Z9" s="37"/>
      <c r="AA9" s="37"/>
      <c r="AB9" s="37"/>
      <c r="AC9" s="37"/>
      <c r="AD9" s="33"/>
      <c r="AE9" s="33"/>
      <c r="AF9" s="33"/>
      <c r="AG9" s="44"/>
      <c r="AH9" s="44"/>
      <c r="AI9" s="44"/>
      <c r="AJ9" s="68"/>
      <c r="AK9" s="68"/>
      <c r="AL9" s="62"/>
      <c r="AM9" s="78"/>
      <c r="AN9" s="37"/>
      <c r="AO9" s="37"/>
      <c r="AP9" s="37"/>
      <c r="AQ9" s="37"/>
      <c r="AR9" s="37"/>
      <c r="AS9" s="63"/>
      <c r="AT9" s="63"/>
      <c r="AU9" s="63"/>
      <c r="AV9" s="63"/>
      <c r="AW9" s="63" t="s">
        <v>30</v>
      </c>
      <c r="AX9" s="63">
        <v>0</v>
      </c>
      <c r="AY9" s="72">
        <f t="shared" si="0"/>
        <v>0</v>
      </c>
    </row>
    <row r="10" ht="25.5" customHeight="1" spans="1:51">
      <c r="A10" s="37">
        <v>6</v>
      </c>
      <c r="B10" s="37" t="s">
        <v>36</v>
      </c>
      <c r="C10" s="33"/>
      <c r="D10" s="33"/>
      <c r="E10" s="44"/>
      <c r="F10" s="45"/>
      <c r="G10" s="45"/>
      <c r="H10" s="45"/>
      <c r="I10" s="33"/>
      <c r="J10" s="70"/>
      <c r="K10" s="64"/>
      <c r="L10" s="37"/>
      <c r="M10" s="37"/>
      <c r="N10" s="37"/>
      <c r="O10" s="37"/>
      <c r="P10" s="37"/>
      <c r="Q10" s="37"/>
      <c r="R10" s="37"/>
      <c r="S10" s="37"/>
      <c r="T10" s="37"/>
      <c r="U10" s="37"/>
      <c r="V10" s="62"/>
      <c r="W10" s="78"/>
      <c r="X10" s="37"/>
      <c r="Y10" s="37"/>
      <c r="Z10" s="37"/>
      <c r="AA10" s="37"/>
      <c r="AB10" s="37"/>
      <c r="AC10" s="37"/>
      <c r="AD10" s="33"/>
      <c r="AE10" s="33"/>
      <c r="AF10" s="33"/>
      <c r="AG10" s="44"/>
      <c r="AH10" s="44"/>
      <c r="AI10" s="44"/>
      <c r="AJ10" s="97"/>
      <c r="AK10" s="97"/>
      <c r="AL10" s="62"/>
      <c r="AM10" s="78"/>
      <c r="AN10" s="37"/>
      <c r="AO10" s="37"/>
      <c r="AP10" s="37"/>
      <c r="AQ10" s="37"/>
      <c r="AR10" s="37"/>
      <c r="AS10" s="51"/>
      <c r="AT10" s="63"/>
      <c r="AU10" s="63"/>
      <c r="AV10" s="63">
        <v>0</v>
      </c>
      <c r="AW10" s="63">
        <v>0</v>
      </c>
      <c r="AX10" s="63">
        <v>0</v>
      </c>
      <c r="AY10" s="72">
        <f t="shared" si="0"/>
        <v>0</v>
      </c>
    </row>
    <row r="11" ht="26.45" customHeight="1" spans="1:51">
      <c r="A11" s="37">
        <v>7</v>
      </c>
      <c r="B11" s="37" t="s">
        <v>37</v>
      </c>
      <c r="C11" s="46"/>
      <c r="D11" s="46"/>
      <c r="E11" s="47"/>
      <c r="F11" s="47"/>
      <c r="G11" s="47"/>
      <c r="H11" s="48"/>
      <c r="I11" s="71"/>
      <c r="J11" s="70"/>
      <c r="K11" s="64"/>
      <c r="L11" s="37"/>
      <c r="M11" s="37"/>
      <c r="N11" s="37"/>
      <c r="O11" s="37"/>
      <c r="P11" s="49"/>
      <c r="Q11" s="49"/>
      <c r="R11" s="49"/>
      <c r="S11" s="33"/>
      <c r="T11" s="33"/>
      <c r="U11" s="33"/>
      <c r="V11" s="67"/>
      <c r="W11" s="81"/>
      <c r="X11" s="68"/>
      <c r="Y11" s="93"/>
      <c r="Z11" s="37"/>
      <c r="AA11" s="37"/>
      <c r="AB11" s="37"/>
      <c r="AC11" s="37"/>
      <c r="AD11" s="37" t="s">
        <v>32</v>
      </c>
      <c r="AE11" s="37"/>
      <c r="AF11" s="37"/>
      <c r="AG11" s="44">
        <v>-0.4</v>
      </c>
      <c r="AH11" s="44">
        <v>0</v>
      </c>
      <c r="AI11" s="44" t="s">
        <v>33</v>
      </c>
      <c r="AJ11" s="97"/>
      <c r="AK11" s="97"/>
      <c r="AL11" s="98"/>
      <c r="AM11" s="99"/>
      <c r="AN11" s="37"/>
      <c r="AO11" s="37"/>
      <c r="AP11" s="37"/>
      <c r="AQ11" s="37"/>
      <c r="AR11" s="37"/>
      <c r="AS11" s="51"/>
      <c r="AT11" s="63"/>
      <c r="AU11" s="63"/>
      <c r="AV11" s="63">
        <v>0</v>
      </c>
      <c r="AW11" s="63">
        <v>0</v>
      </c>
      <c r="AX11" s="63">
        <v>0</v>
      </c>
      <c r="AY11" s="72">
        <f t="shared" si="0"/>
        <v>0</v>
      </c>
    </row>
    <row r="12" ht="33" customHeight="1" spans="1:51">
      <c r="A12" s="37">
        <v>12</v>
      </c>
      <c r="B12" s="37" t="s">
        <v>38</v>
      </c>
      <c r="C12" s="37"/>
      <c r="D12" s="37"/>
      <c r="E12" s="37"/>
      <c r="F12" s="37"/>
      <c r="G12" s="37"/>
      <c r="H12" s="37"/>
      <c r="I12" s="62"/>
      <c r="J12" s="72"/>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64"/>
      <c r="AM12" s="64"/>
      <c r="AN12" s="37"/>
      <c r="AO12" s="37"/>
      <c r="AP12" s="37"/>
      <c r="AQ12" s="37"/>
      <c r="AR12" s="37"/>
      <c r="AS12" s="63"/>
      <c r="AT12" s="63"/>
      <c r="AU12" s="63"/>
      <c r="AV12" s="63">
        <v>0</v>
      </c>
      <c r="AW12" s="63">
        <v>0</v>
      </c>
      <c r="AX12" s="63">
        <v>0</v>
      </c>
      <c r="AY12" s="72">
        <f t="shared" si="0"/>
        <v>0</v>
      </c>
    </row>
    <row r="13" ht="33" customHeight="1" spans="1:51">
      <c r="A13" s="37">
        <v>14</v>
      </c>
      <c r="B13" s="37" t="s">
        <v>39</v>
      </c>
      <c r="C13" s="37"/>
      <c r="D13" s="41"/>
      <c r="E13" s="41"/>
      <c r="F13" s="41"/>
      <c r="G13" s="41"/>
      <c r="H13" s="41"/>
      <c r="I13" s="73"/>
      <c r="J13" s="72"/>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64"/>
      <c r="AM13" s="64"/>
      <c r="AN13" s="37"/>
      <c r="AO13" s="37"/>
      <c r="AP13" s="37"/>
      <c r="AQ13" s="37"/>
      <c r="AR13" s="37"/>
      <c r="AS13" s="63"/>
      <c r="AT13" s="63"/>
      <c r="AU13" s="63"/>
      <c r="AV13" s="63"/>
      <c r="AW13" s="63"/>
      <c r="AX13" s="63"/>
      <c r="AY13" s="72"/>
    </row>
    <row r="14" ht="33" customHeight="1" spans="1:51">
      <c r="A14" s="37">
        <v>15</v>
      </c>
      <c r="B14" s="37" t="s">
        <v>40</v>
      </c>
      <c r="C14" s="37"/>
      <c r="D14" s="41"/>
      <c r="E14" s="41"/>
      <c r="F14" s="41"/>
      <c r="G14" s="41"/>
      <c r="H14" s="41"/>
      <c r="I14" s="73"/>
      <c r="J14" s="72"/>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64"/>
      <c r="AM14" s="64"/>
      <c r="AN14" s="37"/>
      <c r="AO14" s="37"/>
      <c r="AP14" s="37"/>
      <c r="AQ14" s="37"/>
      <c r="AR14" s="37"/>
      <c r="AS14" s="63"/>
      <c r="AT14" s="63"/>
      <c r="AU14" s="63"/>
      <c r="AV14" s="63"/>
      <c r="AW14" s="63"/>
      <c r="AX14" s="63"/>
      <c r="AY14" s="72"/>
    </row>
    <row r="15" ht="33" customHeight="1" spans="1:51">
      <c r="A15" s="37">
        <v>17</v>
      </c>
      <c r="B15" s="37" t="s">
        <v>41</v>
      </c>
      <c r="C15" s="37"/>
      <c r="D15" s="37"/>
      <c r="E15" s="37"/>
      <c r="F15" s="37"/>
      <c r="G15" s="37"/>
      <c r="H15" s="37"/>
      <c r="I15" s="62"/>
      <c r="J15" s="72"/>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64"/>
      <c r="AM15" s="64"/>
      <c r="AN15" s="37"/>
      <c r="AO15" s="37"/>
      <c r="AP15" s="37"/>
      <c r="AQ15" s="37"/>
      <c r="AR15" s="37"/>
      <c r="AS15" s="63"/>
      <c r="AT15" s="63"/>
      <c r="AU15" s="63"/>
      <c r="AV15" s="63"/>
      <c r="AW15" s="63"/>
      <c r="AX15" s="63"/>
      <c r="AY15" s="72"/>
    </row>
    <row r="16" s="2" customFormat="1" ht="75" spans="1:51">
      <c r="A16" s="37">
        <v>4</v>
      </c>
      <c r="B16" s="37" t="s">
        <v>42</v>
      </c>
      <c r="C16" s="49" t="s">
        <v>43</v>
      </c>
      <c r="D16" s="49" t="s">
        <v>44</v>
      </c>
      <c r="E16" s="50">
        <v>0.25</v>
      </c>
      <c r="F16" s="48" t="s">
        <v>45</v>
      </c>
      <c r="G16" s="48" t="s">
        <v>46</v>
      </c>
      <c r="H16" s="48" t="s">
        <v>47</v>
      </c>
      <c r="I16" s="33" t="s">
        <v>48</v>
      </c>
      <c r="J16" s="70">
        <f>92.5*E16</f>
        <v>23.125</v>
      </c>
      <c r="K16" s="74" t="s">
        <v>49</v>
      </c>
      <c r="L16" s="52" t="s">
        <v>50</v>
      </c>
      <c r="M16" s="70">
        <f>92.5*E16</f>
        <v>23.125</v>
      </c>
      <c r="N16" s="41"/>
      <c r="O16" s="41" t="s">
        <v>51</v>
      </c>
      <c r="P16" s="49" t="s">
        <v>52</v>
      </c>
      <c r="Q16" s="49" t="s">
        <v>53</v>
      </c>
      <c r="R16" s="49"/>
      <c r="S16" s="33" t="s">
        <v>54</v>
      </c>
      <c r="T16" s="33" t="s">
        <v>55</v>
      </c>
      <c r="U16" s="33" t="s">
        <v>56</v>
      </c>
      <c r="V16" s="67"/>
      <c r="W16" s="81"/>
      <c r="X16" s="68"/>
      <c r="Y16" s="93"/>
      <c r="Z16" s="41" t="s">
        <v>57</v>
      </c>
      <c r="AA16" s="41">
        <v>1</v>
      </c>
      <c r="AB16" s="41" t="s">
        <v>57</v>
      </c>
      <c r="AC16" s="37" t="s">
        <v>51</v>
      </c>
      <c r="AD16" s="37" t="s">
        <v>32</v>
      </c>
      <c r="AE16" s="37"/>
      <c r="AF16" s="37"/>
      <c r="AG16" s="44">
        <v>-0.4</v>
      </c>
      <c r="AH16" s="44">
        <v>0</v>
      </c>
      <c r="AI16" s="44" t="s">
        <v>33</v>
      </c>
      <c r="AJ16" s="37"/>
      <c r="AK16" s="37"/>
      <c r="AL16" s="62"/>
      <c r="AM16" s="78"/>
      <c r="AN16" s="37"/>
      <c r="AO16" s="37"/>
      <c r="AP16" s="37"/>
      <c r="AQ16" s="37"/>
      <c r="AR16" s="37"/>
      <c r="AS16" s="63"/>
      <c r="AT16" s="63"/>
      <c r="AU16" s="63"/>
      <c r="AV16" s="63">
        <v>0</v>
      </c>
      <c r="AW16" s="63" t="s">
        <v>30</v>
      </c>
      <c r="AX16" s="63">
        <v>0</v>
      </c>
      <c r="AY16" s="72">
        <f>SUM(AS16:AX16)</f>
        <v>0</v>
      </c>
    </row>
    <row r="17" s="2" customFormat="1" ht="56.25" spans="1:51">
      <c r="A17" s="37">
        <v>8</v>
      </c>
      <c r="B17" s="37" t="s">
        <v>58</v>
      </c>
      <c r="C17" s="37" t="s">
        <v>43</v>
      </c>
      <c r="D17" s="49" t="s">
        <v>59</v>
      </c>
      <c r="E17" s="51">
        <v>0.3</v>
      </c>
      <c r="F17" s="48" t="s">
        <v>60</v>
      </c>
      <c r="G17" s="48" t="s">
        <v>61</v>
      </c>
      <c r="H17" s="48" t="s">
        <v>62</v>
      </c>
      <c r="I17" s="33" t="s">
        <v>63</v>
      </c>
      <c r="J17" s="72">
        <f>80*0.3</f>
        <v>24</v>
      </c>
      <c r="K17" s="74" t="s">
        <v>64</v>
      </c>
      <c r="L17" s="52" t="s">
        <v>65</v>
      </c>
      <c r="M17" s="37">
        <f>90*0.3</f>
        <v>27</v>
      </c>
      <c r="N17" s="37"/>
      <c r="O17" s="41" t="s">
        <v>51</v>
      </c>
      <c r="P17" s="37"/>
      <c r="Q17" s="37"/>
      <c r="R17" s="37"/>
      <c r="S17" s="37"/>
      <c r="T17" s="37"/>
      <c r="U17" s="37"/>
      <c r="V17" s="62"/>
      <c r="W17" s="78"/>
      <c r="X17" s="37"/>
      <c r="Y17" s="37"/>
      <c r="Z17" s="37"/>
      <c r="AA17" s="37"/>
      <c r="AB17" s="37"/>
      <c r="AC17" s="37"/>
      <c r="AD17" s="37" t="s">
        <v>32</v>
      </c>
      <c r="AE17" s="37"/>
      <c r="AF17" s="37"/>
      <c r="AG17" s="44">
        <v>-0.4</v>
      </c>
      <c r="AH17" s="44">
        <v>0</v>
      </c>
      <c r="AI17" s="44" t="s">
        <v>33</v>
      </c>
      <c r="AJ17" s="37"/>
      <c r="AK17" s="37"/>
      <c r="AL17" s="62"/>
      <c r="AM17" s="78"/>
      <c r="AN17" s="37"/>
      <c r="AO17" s="37"/>
      <c r="AP17" s="37"/>
      <c r="AQ17" s="37"/>
      <c r="AR17" s="37"/>
      <c r="AS17" s="63"/>
      <c r="AT17" s="63"/>
      <c r="AU17" s="63"/>
      <c r="AV17" s="63">
        <v>0</v>
      </c>
      <c r="AW17" s="63" t="s">
        <v>30</v>
      </c>
      <c r="AX17" s="63">
        <v>0</v>
      </c>
      <c r="AY17" s="72">
        <f t="shared" ref="AY17:AY19" si="1">SUM(AS17:AX17)</f>
        <v>0</v>
      </c>
    </row>
    <row r="18" s="2" customFormat="1" ht="93.75" spans="1:51">
      <c r="A18" s="37">
        <v>9</v>
      </c>
      <c r="B18" s="37" t="s">
        <v>66</v>
      </c>
      <c r="C18" s="33" t="s">
        <v>67</v>
      </c>
      <c r="D18" s="33" t="s">
        <v>68</v>
      </c>
      <c r="E18" s="44">
        <v>0.05</v>
      </c>
      <c r="F18" s="52" t="s">
        <v>69</v>
      </c>
      <c r="G18" s="52" t="s">
        <v>70</v>
      </c>
      <c r="H18" s="52" t="s">
        <v>71</v>
      </c>
      <c r="I18" s="64" t="s">
        <v>72</v>
      </c>
      <c r="J18" s="72">
        <f>94.6*0.05</f>
        <v>4.73</v>
      </c>
      <c r="K18" s="53" t="s">
        <v>73</v>
      </c>
      <c r="L18" s="52" t="s">
        <v>74</v>
      </c>
      <c r="M18" s="37">
        <f>94.6*0.05</f>
        <v>4.73</v>
      </c>
      <c r="N18" s="37"/>
      <c r="O18" s="41" t="s">
        <v>51</v>
      </c>
      <c r="P18" s="37"/>
      <c r="Q18" s="37"/>
      <c r="R18" s="37"/>
      <c r="S18" s="37"/>
      <c r="T18" s="37"/>
      <c r="U18" s="37"/>
      <c r="V18" s="62"/>
      <c r="W18" s="78"/>
      <c r="X18" s="37"/>
      <c r="Y18" s="37"/>
      <c r="Z18" s="52"/>
      <c r="AA18" s="37"/>
      <c r="AB18" s="37"/>
      <c r="AC18" s="37"/>
      <c r="AD18" s="37" t="s">
        <v>32</v>
      </c>
      <c r="AE18" s="37"/>
      <c r="AF18" s="37"/>
      <c r="AG18" s="44">
        <v>-0.4</v>
      </c>
      <c r="AH18" s="44">
        <v>0</v>
      </c>
      <c r="AI18" s="44" t="s">
        <v>33</v>
      </c>
      <c r="AJ18" s="97"/>
      <c r="AK18" s="97"/>
      <c r="AL18" s="62"/>
      <c r="AM18" s="78"/>
      <c r="AN18" s="37"/>
      <c r="AO18" s="37"/>
      <c r="AP18" s="37"/>
      <c r="AQ18" s="37"/>
      <c r="AR18" s="37"/>
      <c r="AS18" s="51"/>
      <c r="AT18" s="63"/>
      <c r="AU18" s="51"/>
      <c r="AV18" s="63">
        <v>0</v>
      </c>
      <c r="AW18" s="63" t="s">
        <v>30</v>
      </c>
      <c r="AX18" s="63">
        <v>0</v>
      </c>
      <c r="AY18" s="72">
        <f t="shared" si="1"/>
        <v>0</v>
      </c>
    </row>
    <row r="19" s="2" customFormat="1" ht="112.5" spans="1:51">
      <c r="A19" s="37">
        <v>10</v>
      </c>
      <c r="B19" s="37" t="s">
        <v>75</v>
      </c>
      <c r="C19" s="49" t="s">
        <v>76</v>
      </c>
      <c r="D19" s="53" t="s">
        <v>77</v>
      </c>
      <c r="E19" s="50">
        <v>0.05</v>
      </c>
      <c r="F19" s="54">
        <v>0</v>
      </c>
      <c r="G19" s="54">
        <v>0.03</v>
      </c>
      <c r="H19" s="112" t="s">
        <v>78</v>
      </c>
      <c r="I19" s="53" t="s">
        <v>79</v>
      </c>
      <c r="J19" s="72">
        <f>100*5%</f>
        <v>5</v>
      </c>
      <c r="K19" s="37"/>
      <c r="L19" s="52" t="s">
        <v>80</v>
      </c>
      <c r="M19" s="37">
        <v>5</v>
      </c>
      <c r="N19" s="41" t="s">
        <v>81</v>
      </c>
      <c r="O19" s="41" t="s">
        <v>51</v>
      </c>
      <c r="P19" s="37"/>
      <c r="Q19" s="37"/>
      <c r="R19" s="37"/>
      <c r="S19" s="37"/>
      <c r="T19" s="37"/>
      <c r="U19" s="37"/>
      <c r="V19" s="62"/>
      <c r="W19" s="78"/>
      <c r="X19" s="37"/>
      <c r="Y19" s="37"/>
      <c r="Z19" s="37"/>
      <c r="AA19" s="37"/>
      <c r="AB19" s="37"/>
      <c r="AC19" s="37"/>
      <c r="AD19" s="37" t="s">
        <v>32</v>
      </c>
      <c r="AE19" s="37"/>
      <c r="AF19" s="37"/>
      <c r="AG19" s="44">
        <v>-0.4</v>
      </c>
      <c r="AH19" s="44">
        <v>0</v>
      </c>
      <c r="AI19" s="44" t="s">
        <v>33</v>
      </c>
      <c r="AJ19" s="37"/>
      <c r="AK19" s="37"/>
      <c r="AL19" s="62"/>
      <c r="AM19" s="78"/>
      <c r="AN19" s="37"/>
      <c r="AO19" s="37"/>
      <c r="AP19" s="37"/>
      <c r="AQ19" s="37"/>
      <c r="AR19" s="37"/>
      <c r="AS19" s="63"/>
      <c r="AT19" s="51"/>
      <c r="AU19" s="63"/>
      <c r="AV19" s="63">
        <v>0</v>
      </c>
      <c r="AW19" s="63">
        <v>0</v>
      </c>
      <c r="AX19" s="63">
        <v>0</v>
      </c>
      <c r="AY19" s="72">
        <f t="shared" si="1"/>
        <v>0</v>
      </c>
    </row>
    <row r="20" s="2" customFormat="1" ht="93.75" spans="1:51">
      <c r="A20" s="37">
        <v>11</v>
      </c>
      <c r="B20" s="55" t="s">
        <v>82</v>
      </c>
      <c r="C20" s="33" t="s">
        <v>83</v>
      </c>
      <c r="D20" s="49" t="s">
        <v>84</v>
      </c>
      <c r="E20" s="44">
        <v>0.1</v>
      </c>
      <c r="F20" s="56" t="s">
        <v>85</v>
      </c>
      <c r="G20" s="56" t="s">
        <v>86</v>
      </c>
      <c r="H20" s="57" t="s">
        <v>87</v>
      </c>
      <c r="I20" s="53" t="s">
        <v>88</v>
      </c>
      <c r="J20" s="70">
        <f>85*0.1</f>
        <v>8.5</v>
      </c>
      <c r="K20" s="64" t="s">
        <v>89</v>
      </c>
      <c r="L20" s="52" t="s">
        <v>90</v>
      </c>
      <c r="M20" s="37">
        <f>80*0.1</f>
        <v>8</v>
      </c>
      <c r="N20" s="41" t="s">
        <v>91</v>
      </c>
      <c r="O20" s="41" t="s">
        <v>51</v>
      </c>
      <c r="P20" s="37"/>
      <c r="Q20" s="37"/>
      <c r="R20" s="37"/>
      <c r="S20" s="37"/>
      <c r="T20" s="37"/>
      <c r="U20" s="33"/>
      <c r="V20" s="62"/>
      <c r="W20" s="78"/>
      <c r="X20" s="82"/>
      <c r="Y20" s="94"/>
      <c r="Z20" s="82"/>
      <c r="AA20" s="37"/>
      <c r="AB20" s="37"/>
      <c r="AC20" s="64"/>
      <c r="AD20" s="37" t="s">
        <v>32</v>
      </c>
      <c r="AE20" s="37"/>
      <c r="AF20" s="37"/>
      <c r="AG20" s="44">
        <v>-0.4</v>
      </c>
      <c r="AH20" s="44">
        <v>0</v>
      </c>
      <c r="AI20" s="44" t="s">
        <v>33</v>
      </c>
      <c r="AJ20" s="37"/>
      <c r="AK20" s="37"/>
      <c r="AL20" s="62"/>
      <c r="AM20" s="78"/>
      <c r="AN20" s="37"/>
      <c r="AO20" s="37"/>
      <c r="AP20" s="37"/>
      <c r="AQ20" s="37"/>
      <c r="AR20" s="37"/>
      <c r="AS20" s="108"/>
      <c r="AT20" s="108"/>
      <c r="AU20" s="108"/>
      <c r="AV20" s="108"/>
      <c r="AW20" s="108"/>
      <c r="AX20" s="108"/>
      <c r="AY20" s="111">
        <v>1.3</v>
      </c>
    </row>
    <row r="21" s="2" customFormat="1" ht="206.25" spans="1:51">
      <c r="A21" s="37">
        <v>13</v>
      </c>
      <c r="B21" s="37" t="s">
        <v>92</v>
      </c>
      <c r="C21" s="37" t="s">
        <v>93</v>
      </c>
      <c r="D21" s="41" t="s">
        <v>94</v>
      </c>
      <c r="E21" s="42">
        <v>0.2</v>
      </c>
      <c r="F21" s="41" t="s">
        <v>95</v>
      </c>
      <c r="G21" s="41" t="s">
        <v>96</v>
      </c>
      <c r="H21" s="41" t="s">
        <v>97</v>
      </c>
      <c r="I21" s="75" t="s">
        <v>98</v>
      </c>
      <c r="J21" s="72">
        <f>100*20%</f>
        <v>20</v>
      </c>
      <c r="K21" s="37"/>
      <c r="L21" s="52" t="s">
        <v>99</v>
      </c>
      <c r="M21" s="37">
        <f>100*0.2</f>
        <v>20</v>
      </c>
      <c r="N21" s="41" t="s">
        <v>100</v>
      </c>
      <c r="O21" s="41" t="s">
        <v>51</v>
      </c>
      <c r="P21" s="37"/>
      <c r="Q21" s="37"/>
      <c r="R21" s="37"/>
      <c r="S21" s="37"/>
      <c r="T21" s="37"/>
      <c r="U21" s="37"/>
      <c r="V21" s="37"/>
      <c r="W21" s="37"/>
      <c r="X21" s="37"/>
      <c r="Y21" s="37"/>
      <c r="Z21" s="37"/>
      <c r="AA21" s="37"/>
      <c r="AB21" s="37"/>
      <c r="AC21" s="37"/>
      <c r="AD21" s="37"/>
      <c r="AE21" s="37"/>
      <c r="AF21" s="37"/>
      <c r="AG21" s="37"/>
      <c r="AH21" s="37"/>
      <c r="AI21" s="37"/>
      <c r="AJ21" s="37"/>
      <c r="AK21" s="37"/>
      <c r="AL21" s="64"/>
      <c r="AM21" s="64"/>
      <c r="AN21" s="37"/>
      <c r="AO21" s="37"/>
      <c r="AP21" s="37"/>
      <c r="AQ21" s="37"/>
      <c r="AR21" s="37"/>
      <c r="AS21" s="63"/>
      <c r="AT21" s="63"/>
      <c r="AU21" s="63"/>
      <c r="AV21" s="63"/>
      <c r="AW21" s="63"/>
      <c r="AX21" s="63"/>
      <c r="AY21" s="72"/>
    </row>
    <row r="22" s="2" customFormat="1" ht="262.5" spans="1:51">
      <c r="A22" s="37">
        <v>16</v>
      </c>
      <c r="B22" s="37" t="s">
        <v>101</v>
      </c>
      <c r="C22" s="37" t="s">
        <v>102</v>
      </c>
      <c r="D22" s="41" t="s">
        <v>103</v>
      </c>
      <c r="E22" s="42">
        <v>0.35</v>
      </c>
      <c r="F22" s="41" t="s">
        <v>104</v>
      </c>
      <c r="G22" s="41" t="s">
        <v>105</v>
      </c>
      <c r="H22" s="41" t="s">
        <v>106</v>
      </c>
      <c r="I22" s="67" t="s">
        <v>107</v>
      </c>
      <c r="J22" s="72">
        <f>100*35%</f>
        <v>35</v>
      </c>
      <c r="K22" s="37"/>
      <c r="L22" s="41" t="s">
        <v>108</v>
      </c>
      <c r="M22" s="37">
        <v>35</v>
      </c>
      <c r="N22" s="41" t="s">
        <v>81</v>
      </c>
      <c r="O22" s="41" t="s">
        <v>51</v>
      </c>
      <c r="P22" s="37"/>
      <c r="Q22" s="37"/>
      <c r="R22" s="37"/>
      <c r="S22" s="37"/>
      <c r="T22" s="37"/>
      <c r="U22" s="37"/>
      <c r="V22" s="37"/>
      <c r="W22" s="37"/>
      <c r="X22" s="37"/>
      <c r="Y22" s="37"/>
      <c r="Z22" s="37"/>
      <c r="AA22" s="37"/>
      <c r="AB22" s="37"/>
      <c r="AC22" s="37"/>
      <c r="AD22" s="37" t="s">
        <v>32</v>
      </c>
      <c r="AE22" s="37"/>
      <c r="AF22" s="37"/>
      <c r="AG22" s="44">
        <v>-0.4</v>
      </c>
      <c r="AH22" s="44">
        <v>0</v>
      </c>
      <c r="AI22" s="44" t="s">
        <v>33</v>
      </c>
      <c r="AJ22" s="37"/>
      <c r="AK22" s="37"/>
      <c r="AL22" s="64"/>
      <c r="AM22" s="64"/>
      <c r="AN22" s="37"/>
      <c r="AO22" s="37"/>
      <c r="AP22" s="37"/>
      <c r="AQ22" s="37"/>
      <c r="AR22" s="37"/>
      <c r="AS22" s="63"/>
      <c r="AT22" s="63"/>
      <c r="AU22" s="63"/>
      <c r="AV22" s="63"/>
      <c r="AW22" s="63"/>
      <c r="AX22" s="63"/>
      <c r="AY22" s="72"/>
    </row>
    <row r="23" ht="114" customHeight="1"/>
    <row r="24" ht="114" customHeight="1"/>
    <row r="25" ht="114" customHeight="1"/>
    <row r="26" ht="114" customHeight="1"/>
    <row r="27" ht="114" customHeight="1"/>
    <row r="28" ht="114" customHeight="1"/>
    <row r="29" ht="114" customHeight="1"/>
    <row r="30" ht="114" customHeight="1" spans="9:9">
      <c r="I30" s="3">
        <f>54.5*8*12</f>
        <v>5232</v>
      </c>
    </row>
  </sheetData>
  <mergeCells count="123">
    <mergeCell ref="A3:B3"/>
    <mergeCell ref="C3:O3"/>
    <mergeCell ref="P3:AC3"/>
    <mergeCell ref="AD3:AR3"/>
    <mergeCell ref="AS3:AY3"/>
    <mergeCell ref="F4:H4"/>
    <mergeCell ref="I4:K4"/>
    <mergeCell ref="L4:O4"/>
    <mergeCell ref="S4:U4"/>
    <mergeCell ref="V4:Y4"/>
    <mergeCell ref="Z4:AC4"/>
    <mergeCell ref="AJ4:AN4"/>
    <mergeCell ref="AO4:AR4"/>
    <mergeCell ref="AS4:AU4"/>
    <mergeCell ref="AV4:AX4"/>
    <mergeCell ref="V5:W5"/>
    <mergeCell ref="AL5:AM5"/>
    <mergeCell ref="AQ5:AR5"/>
    <mergeCell ref="Q6:R6"/>
    <mergeCell ref="V6:W6"/>
    <mergeCell ref="AD6:AF6"/>
    <mergeCell ref="AL6:AM6"/>
    <mergeCell ref="Q7:R7"/>
    <mergeCell ref="V7:W7"/>
    <mergeCell ref="AD7:AF7"/>
    <mergeCell ref="AL7:AM7"/>
    <mergeCell ref="Q8:R8"/>
    <mergeCell ref="Q9:R9"/>
    <mergeCell ref="V9:W9"/>
    <mergeCell ref="AD9:AF9"/>
    <mergeCell ref="AL9:AM9"/>
    <mergeCell ref="Q10:R10"/>
    <mergeCell ref="V10:W10"/>
    <mergeCell ref="AD10:AF10"/>
    <mergeCell ref="AL10:AM10"/>
    <mergeCell ref="Q11:R11"/>
    <mergeCell ref="V11:W11"/>
    <mergeCell ref="AD11:AF11"/>
    <mergeCell ref="AL11:AM11"/>
    <mergeCell ref="Q12:R12"/>
    <mergeCell ref="V12:W12"/>
    <mergeCell ref="AD12:AF12"/>
    <mergeCell ref="AL12:AM12"/>
    <mergeCell ref="Q13:R13"/>
    <mergeCell ref="V13:W13"/>
    <mergeCell ref="AD13:AF13"/>
    <mergeCell ref="AL13:AM13"/>
    <mergeCell ref="Q14:R14"/>
    <mergeCell ref="V14:W14"/>
    <mergeCell ref="AD14:AF14"/>
    <mergeCell ref="AL14:AM14"/>
    <mergeCell ref="Q15:R15"/>
    <mergeCell ref="V15:W15"/>
    <mergeCell ref="AD15:AF15"/>
    <mergeCell ref="AL15:AM15"/>
    <mergeCell ref="Q16:R16"/>
    <mergeCell ref="V16:W16"/>
    <mergeCell ref="AD16:AF16"/>
    <mergeCell ref="AL16:AM16"/>
    <mergeCell ref="Q17:R17"/>
    <mergeCell ref="V17:W17"/>
    <mergeCell ref="AD17:AF17"/>
    <mergeCell ref="AL17:AM17"/>
    <mergeCell ref="Q18:R18"/>
    <mergeCell ref="V18:W18"/>
    <mergeCell ref="AD18:AF18"/>
    <mergeCell ref="AL18:AM18"/>
    <mergeCell ref="Q19:R19"/>
    <mergeCell ref="V19:W19"/>
    <mergeCell ref="AD19:AF19"/>
    <mergeCell ref="AL19:AM19"/>
    <mergeCell ref="Q20:R20"/>
    <mergeCell ref="V20:W20"/>
    <mergeCell ref="AD20:AF20"/>
    <mergeCell ref="AL20:AM20"/>
    <mergeCell ref="Q21:R21"/>
    <mergeCell ref="V21:W21"/>
    <mergeCell ref="AD21:AF21"/>
    <mergeCell ref="AL21:AM21"/>
    <mergeCell ref="Q22:R22"/>
    <mergeCell ref="V22:W22"/>
    <mergeCell ref="AD22:AF22"/>
    <mergeCell ref="AL22:AM22"/>
    <mergeCell ref="Q23:R23"/>
    <mergeCell ref="AD23:AF23"/>
    <mergeCell ref="Q24:R24"/>
    <mergeCell ref="AD24:AF24"/>
    <mergeCell ref="AD25:AF25"/>
    <mergeCell ref="AD26:AF26"/>
    <mergeCell ref="AD27:AF27"/>
    <mergeCell ref="AD28:AF28"/>
    <mergeCell ref="AD29:AF29"/>
    <mergeCell ref="AD30:AF30"/>
    <mergeCell ref="AD31:AF31"/>
    <mergeCell ref="AD32:AF32"/>
    <mergeCell ref="AD33:AF33"/>
    <mergeCell ref="AD34:AF34"/>
    <mergeCell ref="AD35:AF35"/>
    <mergeCell ref="AD36:AF36"/>
    <mergeCell ref="AD37:AF37"/>
    <mergeCell ref="AD38:AF38"/>
    <mergeCell ref="AD39:AF39"/>
    <mergeCell ref="AD40:AF40"/>
    <mergeCell ref="AD41:AF41"/>
    <mergeCell ref="AD42:AF42"/>
    <mergeCell ref="AD43:AF43"/>
    <mergeCell ref="AD44:AF44"/>
    <mergeCell ref="AD45:AF45"/>
    <mergeCell ref="AD46:AF46"/>
    <mergeCell ref="AD47:AF47"/>
    <mergeCell ref="AD48:AF48"/>
    <mergeCell ref="AD49:AF49"/>
    <mergeCell ref="A4:A5"/>
    <mergeCell ref="B4:B5"/>
    <mergeCell ref="C4:C5"/>
    <mergeCell ref="D4:D5"/>
    <mergeCell ref="E4:E5"/>
    <mergeCell ref="P4:P5"/>
    <mergeCell ref="AY4:AY5"/>
    <mergeCell ref="AD4:AF5"/>
    <mergeCell ref="AG4:AI5"/>
    <mergeCell ref="Q4:R5"/>
    <mergeCell ref="A1:AY2"/>
  </mergeCells>
  <pageMargins left="0.7" right="0.7" top="0.75" bottom="0.75" header="0.3" footer="0.3"/>
  <pageSetup paperSize="8"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9"/>
  <sheetViews>
    <sheetView tabSelected="1" zoomScale="70" zoomScaleNormal="70" workbookViewId="0">
      <pane xSplit="2" ySplit="2" topLeftCell="C3" activePane="bottomRight" state="frozen"/>
      <selection/>
      <selection pane="topRight"/>
      <selection pane="bottomLeft"/>
      <selection pane="bottomRight" activeCell="Q2" sqref="Q2"/>
    </sheetView>
  </sheetViews>
  <sheetFormatPr defaultColWidth="9" defaultRowHeight="18.75"/>
  <cols>
    <col min="1" max="1" width="5.125" style="3" customWidth="1"/>
    <col min="2" max="2" width="15.875" style="3" customWidth="1"/>
    <col min="3" max="3" width="22.625" style="3" customWidth="1"/>
    <col min="4" max="4" width="34.875" style="3" customWidth="1"/>
    <col min="5" max="5" width="11.625" style="3" customWidth="1"/>
    <col min="6" max="7" width="33" style="3" customWidth="1"/>
    <col min="8" max="8" width="41.625" style="3" customWidth="1"/>
    <col min="9" max="9" width="45.875" style="3" customWidth="1"/>
    <col min="10" max="10" width="26.0666666666667" style="3" customWidth="1"/>
    <col min="11" max="11" width="69.625" style="3" customWidth="1"/>
    <col min="12" max="12" width="25.875" style="3" customWidth="1"/>
    <col min="13" max="13" width="26.6" style="3" customWidth="1"/>
    <col min="14" max="14" width="23.625" style="3" customWidth="1"/>
    <col min="15" max="15" width="24.275" style="3" customWidth="1"/>
    <col min="16" max="16" width="12.375" style="3" customWidth="1"/>
    <col min="17" max="17" width="25" style="3" customWidth="1"/>
    <col min="18" max="18" width="24.2833333333333" style="3" customWidth="1"/>
    <col min="19" max="19" width="20.35" style="3" customWidth="1"/>
    <col min="20" max="20" width="21.6" style="3" customWidth="1"/>
    <col min="21" max="21" width="26.6083333333333" style="3" customWidth="1"/>
    <col min="22" max="22" width="26.6" style="3" customWidth="1"/>
    <col min="23" max="23" width="27.85" style="3" customWidth="1"/>
    <col min="24" max="24" width="24.25" style="3" customWidth="1"/>
    <col min="25" max="25" width="20.35" style="3" customWidth="1"/>
    <col min="26" max="26" width="20.25" style="3" customWidth="1"/>
    <col min="27" max="27" width="27.125" style="3" customWidth="1"/>
    <col min="28" max="28" width="20.7083333333333" style="3" customWidth="1"/>
    <col min="29" max="29" width="21.25" style="3" customWidth="1"/>
    <col min="30" max="30" width="18.75" style="3" customWidth="1"/>
    <col min="31" max="31" width="18.0333333333333" style="3" customWidth="1"/>
    <col min="32" max="32" width="17.125" style="3" customWidth="1"/>
    <col min="33" max="33" width="14.5" style="3" customWidth="1"/>
    <col min="34" max="34" width="16.5" style="3" customWidth="1"/>
    <col min="35" max="35" width="17.675" style="3" customWidth="1"/>
    <col min="36" max="36" width="17.8583333333333" style="3" customWidth="1"/>
    <col min="37" max="37" width="18.0333333333333" style="3" customWidth="1"/>
    <col min="38" max="38" width="17.3166666666667" style="3" customWidth="1"/>
    <col min="39" max="39" width="19.75" style="3" customWidth="1"/>
    <col min="40" max="41" width="30.875" style="3" customWidth="1"/>
    <col min="42" max="42" width="19.625" style="3" customWidth="1"/>
    <col min="43" max="44" width="30.875" style="3" customWidth="1"/>
    <col min="45" max="45" width="25.5" style="3" customWidth="1"/>
    <col min="46" max="16384" width="9" style="3"/>
  </cols>
  <sheetData>
    <row r="1" s="1" customFormat="1" ht="40" customHeight="1" spans="1:45">
      <c r="A1" s="4" t="s">
        <v>1</v>
      </c>
      <c r="B1" s="4"/>
      <c r="C1" s="5" t="s">
        <v>2</v>
      </c>
      <c r="D1" s="5"/>
      <c r="E1" s="5"/>
      <c r="F1" s="5"/>
      <c r="G1" s="5"/>
      <c r="H1" s="5"/>
      <c r="I1" s="5"/>
      <c r="J1" s="5"/>
      <c r="K1" s="5"/>
      <c r="L1" s="5"/>
      <c r="M1" s="5"/>
      <c r="N1" s="5"/>
      <c r="O1" s="11"/>
      <c r="P1" s="12" t="s">
        <v>3</v>
      </c>
      <c r="Q1" s="16"/>
      <c r="R1" s="16"/>
      <c r="S1" s="16"/>
      <c r="T1" s="16"/>
      <c r="U1" s="16"/>
      <c r="V1" s="16"/>
      <c r="W1" s="16"/>
      <c r="X1" s="16"/>
      <c r="Y1" s="16"/>
      <c r="Z1" s="16"/>
      <c r="AA1" s="18"/>
      <c r="AB1" s="19" t="s">
        <v>4</v>
      </c>
      <c r="AC1" s="20"/>
      <c r="AD1" s="20"/>
      <c r="AE1" s="20"/>
      <c r="AF1" s="20"/>
      <c r="AG1" s="20"/>
      <c r="AH1" s="20"/>
      <c r="AI1" s="20"/>
      <c r="AJ1" s="20"/>
      <c r="AK1" s="20"/>
      <c r="AL1" s="20"/>
      <c r="AM1" s="22" t="s">
        <v>5</v>
      </c>
      <c r="AN1" s="22"/>
      <c r="AO1" s="22"/>
      <c r="AP1" s="22"/>
      <c r="AQ1" s="22"/>
      <c r="AR1" s="22"/>
      <c r="AS1" s="22"/>
    </row>
    <row r="2" s="1" customFormat="1" ht="89" customHeight="1" spans="1:69">
      <c r="A2" s="6" t="s">
        <v>6</v>
      </c>
      <c r="B2" s="7" t="s">
        <v>7</v>
      </c>
      <c r="C2" s="8" t="s">
        <v>2</v>
      </c>
      <c r="D2" s="6" t="s">
        <v>109</v>
      </c>
      <c r="E2" s="6" t="s">
        <v>110</v>
      </c>
      <c r="F2" s="9" t="s">
        <v>111</v>
      </c>
      <c r="G2" s="9" t="s">
        <v>112</v>
      </c>
      <c r="H2" s="9" t="s">
        <v>113</v>
      </c>
      <c r="I2" s="13" t="s">
        <v>114</v>
      </c>
      <c r="J2" s="13" t="s">
        <v>115</v>
      </c>
      <c r="K2" s="13" t="s">
        <v>116</v>
      </c>
      <c r="L2" s="14" t="s">
        <v>117</v>
      </c>
      <c r="M2" s="14" t="s">
        <v>118</v>
      </c>
      <c r="N2" s="15" t="s">
        <v>119</v>
      </c>
      <c r="O2" s="14" t="s">
        <v>120</v>
      </c>
      <c r="P2" s="6" t="s">
        <v>121</v>
      </c>
      <c r="Q2" s="6" t="s">
        <v>121</v>
      </c>
      <c r="R2" s="17" t="s">
        <v>122</v>
      </c>
      <c r="S2" s="17" t="s">
        <v>123</v>
      </c>
      <c r="T2" s="17" t="s">
        <v>124</v>
      </c>
      <c r="U2" s="13" t="s">
        <v>125</v>
      </c>
      <c r="V2" s="13" t="s">
        <v>126</v>
      </c>
      <c r="W2" s="13" t="s">
        <v>127</v>
      </c>
      <c r="X2" s="13" t="s">
        <v>128</v>
      </c>
      <c r="Y2" s="13" t="s">
        <v>129</v>
      </c>
      <c r="Z2" s="13" t="s">
        <v>130</v>
      </c>
      <c r="AA2" s="13" t="s">
        <v>131</v>
      </c>
      <c r="AB2" s="21" t="s">
        <v>132</v>
      </c>
      <c r="AC2" s="13" t="s">
        <v>133</v>
      </c>
      <c r="AD2" s="13" t="s">
        <v>134</v>
      </c>
      <c r="AE2" s="13" t="s">
        <v>135</v>
      </c>
      <c r="AF2" s="13" t="s">
        <v>136</v>
      </c>
      <c r="AG2" s="13" t="s">
        <v>137</v>
      </c>
      <c r="AH2" s="23" t="s">
        <v>138</v>
      </c>
      <c r="AI2" s="13" t="s">
        <v>139</v>
      </c>
      <c r="AJ2" s="13" t="s">
        <v>140</v>
      </c>
      <c r="AK2" s="13" t="s">
        <v>141</v>
      </c>
      <c r="AL2" s="23" t="s">
        <v>142</v>
      </c>
      <c r="AM2" s="14" t="s">
        <v>143</v>
      </c>
      <c r="AN2" s="14" t="s">
        <v>144</v>
      </c>
      <c r="AO2" s="14" t="s">
        <v>145</v>
      </c>
      <c r="AP2" s="14" t="s">
        <v>146</v>
      </c>
      <c r="AQ2" s="14" t="s">
        <v>147</v>
      </c>
      <c r="AR2" s="14" t="s">
        <v>148</v>
      </c>
      <c r="AS2" s="24" t="s">
        <v>149</v>
      </c>
      <c r="AT2" s="10"/>
      <c r="AU2" s="10"/>
      <c r="AV2" s="10"/>
      <c r="AW2" s="10"/>
      <c r="AX2" s="10"/>
      <c r="AY2" s="10"/>
      <c r="AZ2" s="10"/>
      <c r="BA2" s="10"/>
      <c r="BB2" s="10"/>
      <c r="BC2" s="10"/>
      <c r="BD2" s="10"/>
      <c r="BE2" s="10"/>
      <c r="BF2" s="10"/>
      <c r="BG2" s="10"/>
      <c r="BH2" s="10"/>
      <c r="BI2" s="10"/>
      <c r="BJ2" s="10"/>
      <c r="BK2" s="10"/>
      <c r="BL2" s="10"/>
      <c r="BM2" s="10"/>
      <c r="BN2" s="10"/>
      <c r="BO2" s="10"/>
      <c r="BP2" s="10"/>
      <c r="BQ2" s="10"/>
    </row>
    <row r="3" s="2" customFormat="1" spans="1:69">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row>
    <row r="4" s="2" customFormat="1" spans="1:69">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row>
    <row r="5" s="2" customFormat="1" spans="1:69">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row>
    <row r="6" s="2" customFormat="1" spans="1:69">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row>
    <row r="7" s="2" customFormat="1" spans="1:69">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row>
    <row r="8" s="2" customFormat="1" spans="1:69">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row>
    <row r="9" s="2" customFormat="1" spans="1:69">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row>
  </sheetData>
  <mergeCells count="5">
    <mergeCell ref="A1:B1"/>
    <mergeCell ref="C1:O1"/>
    <mergeCell ref="P1:AA1"/>
    <mergeCell ref="AB1:AL1"/>
    <mergeCell ref="AM1:AS1"/>
  </mergeCells>
  <pageMargins left="0.7" right="0.7" top="0.75" bottom="0.75" header="0.3" footer="0.3"/>
  <pageSetup paperSize="8"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汇总表</vt:lpstr>
      <vt:lpstr>钻完井的考核项目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最后的守护者</cp:lastModifiedBy>
  <dcterms:created xsi:type="dcterms:W3CDTF">2015-06-05T18:19:00Z</dcterms:created>
  <dcterms:modified xsi:type="dcterms:W3CDTF">2023-10-15T12:32:05Z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F01CAC62D5E2416291150457144502DA_13</vt:lpwstr>
  </property>
  <property fmtid="{D5CDD505-2E9C-101B-9397-08002B2CF9AE}" pid="3" name="KSOProductBuildVer">
    <vt:lpwstr>2052-12.1.0.15374</vt:lpwstr>
  </property>
</Properties>
</file>